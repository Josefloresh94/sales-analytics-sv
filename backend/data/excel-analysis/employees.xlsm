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joseflores/Desktop/Proyectos/sales-analytics-sv/backend/data/excel-analysis/"/>
    </mc:Choice>
  </mc:AlternateContent>
  <xr:revisionPtr revIDLastSave="0" documentId="13_ncr:1_{1253A164-A222-F44F-9E5B-36289F23D006}" xr6:coauthVersionLast="47" xr6:coauthVersionMax="47" xr10:uidLastSave="{00000000-0000-0000-0000-000000000000}"/>
  <bookViews>
    <workbookView xWindow="0" yWindow="600" windowWidth="28800" windowHeight="17400" activeTab="1" xr2:uid="{3906F35F-7F68-2943-9664-3F9C6E899FFE}"/>
  </bookViews>
  <sheets>
    <sheet name="Sheet1" sheetId="1" r:id="rId1"/>
    <sheet name="KPIs" sheetId="3" r:id="rId2"/>
    <sheet name="Analysis" sheetId="2" r:id="rId3"/>
  </sheets>
  <externalReferences>
    <externalReference r:id="rId4"/>
  </externalReferences>
  <calcPr calcId="191029"/>
  <pivotCaches>
    <pivotCache cacheId="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" l="1" a="1"/>
  <c r="G2" i="3" s="1"/>
  <c r="G3" i="3" a="1"/>
  <c r="G3" i="3" s="1"/>
  <c r="G4" i="3" a="1"/>
  <c r="G4" i="3" s="1"/>
  <c r="G5" i="3" a="1"/>
  <c r="G5" i="3" s="1"/>
  <c r="G6" i="3" a="1"/>
  <c r="G6" i="3" s="1"/>
  <c r="G7" i="3" a="1"/>
  <c r="G7" i="3" s="1"/>
  <c r="G8" i="3" a="1"/>
  <c r="G8" i="3" s="1"/>
  <c r="G9" i="3" a="1"/>
  <c r="G9" i="3" s="1"/>
  <c r="F6" i="3"/>
  <c r="F7" i="3"/>
  <c r="F8" i="3"/>
  <c r="D3" i="3"/>
  <c r="E3" i="3" s="1"/>
  <c r="D4" i="3"/>
  <c r="E4" i="3" s="1"/>
  <c r="D5" i="3"/>
  <c r="E5" i="3" s="1"/>
  <c r="D6" i="3"/>
  <c r="E6" i="3" s="1"/>
  <c r="D7" i="3"/>
  <c r="E7" i="3" s="1"/>
  <c r="D8" i="3"/>
  <c r="E8" i="3" s="1"/>
  <c r="D9" i="3"/>
  <c r="E9" i="3" s="1"/>
  <c r="D2" i="3"/>
  <c r="E2" i="3" s="1"/>
  <c r="C3" i="3"/>
  <c r="C4" i="3"/>
  <c r="C5" i="3"/>
  <c r="C6" i="3"/>
  <c r="C7" i="3"/>
  <c r="C8" i="3"/>
  <c r="C9" i="3"/>
  <c r="C2" i="3"/>
  <c r="B3" i="3"/>
  <c r="F3" i="3" s="1"/>
  <c r="B4" i="3"/>
  <c r="F4" i="3" s="1"/>
  <c r="B5" i="3"/>
  <c r="F5" i="3" s="1"/>
  <c r="B6" i="3"/>
  <c r="B7" i="3"/>
  <c r="B8" i="3"/>
  <c r="B9" i="3"/>
  <c r="F9" i="3" s="1"/>
  <c r="B2" i="3"/>
  <c r="F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<sst xmlns="http://schemas.openxmlformats.org/spreadsheetml/2006/main" count="105" uniqueCount="50">
  <si>
    <t>employee_id</t>
  </si>
  <si>
    <t>name</t>
  </si>
  <si>
    <t>branch_name</t>
  </si>
  <si>
    <t>role</t>
  </si>
  <si>
    <t>salary_usd</t>
  </si>
  <si>
    <t>hire_date</t>
  </si>
  <si>
    <t>San Salvador Centro</t>
  </si>
  <si>
    <t>Santa Ana</t>
  </si>
  <si>
    <t>San Miguel</t>
  </si>
  <si>
    <t>Soyapango</t>
  </si>
  <si>
    <t>Metrocentro</t>
  </si>
  <si>
    <t>Usulután</t>
  </si>
  <si>
    <t>La Libertad</t>
  </si>
  <si>
    <t>Chalatenango</t>
  </si>
  <si>
    <t>Branch Manager</t>
  </si>
  <si>
    <t>Sales Associate</t>
  </si>
  <si>
    <t>Cashier</t>
  </si>
  <si>
    <t>Daniela Fuentes</t>
  </si>
  <si>
    <t>Nelson Barrera</t>
  </si>
  <si>
    <t>Ingrid Soriano</t>
  </si>
  <si>
    <t>Héctor Quintanilla</t>
  </si>
  <si>
    <t>Stephanie Aguilar</t>
  </si>
  <si>
    <t>Ricardo Molina</t>
  </si>
  <si>
    <t>Mónica Pereira</t>
  </si>
  <si>
    <t>Ernesto Gutiérrez</t>
  </si>
  <si>
    <t>Gabriela Serrano</t>
  </si>
  <si>
    <t>Alejandro Núñez</t>
  </si>
  <si>
    <t>Verónica Castro</t>
  </si>
  <si>
    <t>Francisco Mejía</t>
  </si>
  <si>
    <t>Karla Romero</t>
  </si>
  <si>
    <t>Diego Portillo</t>
  </si>
  <si>
    <t>Sandra Orellana</t>
  </si>
  <si>
    <t>Miguel Chávez</t>
  </si>
  <si>
    <t>Patricia Vásquez</t>
  </si>
  <si>
    <t>Luis Flores</t>
  </si>
  <si>
    <t>Claudia Ramos</t>
  </si>
  <si>
    <t>José Martínez</t>
  </si>
  <si>
    <t>María López</t>
  </si>
  <si>
    <t>Roberto Hernández</t>
  </si>
  <si>
    <t>Ana García</t>
  </si>
  <si>
    <t>Carlos Mendoza</t>
  </si>
  <si>
    <t>Row Labels</t>
  </si>
  <si>
    <t>Grand Total</t>
  </si>
  <si>
    <t>Sum of salary_usd</t>
  </si>
  <si>
    <t>headcount</t>
  </si>
  <si>
    <t>total_payroll</t>
  </si>
  <si>
    <t>actual_usd</t>
  </si>
  <si>
    <t>revenue_per_employee</t>
  </si>
  <si>
    <t>payroll_ratio</t>
  </si>
  <si>
    <t>efficiency_status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</si>
</sst>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44" fontId="0" fillId="0" borderId="0" xfId="0" applyNumberFormat="1"/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1" applyNumberFormat="1" applyFont="1"/>
    <xf numFmtId="44" fontId="0" fillId="0" borderId="0" xfId="1" applyNumberFormat="1" applyFont="1"/>
  </cellXfs>
  <cellStyles count="2">
    <cellStyle name="Normal" xfId="0" builtinId="0"/>
    <cellStyle name="Percent" xfId="1" builtinId="5"/>
  </cellStyles>
  <dxfs count="12"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alignment horizontal="left" vertical="bottom" textRotation="0" wrapText="0" indent="0" justifyLastLine="0" shrinkToFit="0" readingOrder="0"/>
    </dxf>
    <dxf>
      <numFmt numFmtId="19" formatCode="d/m/yy"/>
    </dxf>
    <dxf>
      <numFmt numFmtId="34" formatCode="_(&quot;$&quot;* #,##0.00_);_(&quot;$&quot;* \(#,##0.00\);_(&quot;$&quot;* &quot;-&quot;??_);_(@_)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joseflores/Desktop/Proyectos/sales-analytics-sv/backend/data/excel-analysis/budget_vs_actual.xlsm" TargetMode="External"/><Relationship Id="rId1" Type="http://schemas.openxmlformats.org/officeDocument/2006/relationships/externalLinkPath" Target="budget_vs_actu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ntas"/>
      <sheetName val="Budget_vs_Actual"/>
      <sheetName val="Budget"/>
      <sheetName val="Metadata"/>
      <sheetName val="Analysis"/>
      <sheetName val="Dashboard"/>
    </sheetNames>
    <sheetDataSet>
      <sheetData sheetId="0"/>
      <sheetData sheetId="1">
        <row r="1">
          <cell r="A1" t="str">
            <v>branch_name</v>
          </cell>
          <cell r="B1" t="str">
            <v>budget_usd</v>
          </cell>
          <cell r="C1" t="str">
            <v>actual_usd</v>
          </cell>
        </row>
        <row r="2">
          <cell r="A2" t="str">
            <v>San Salvador Centro</v>
          </cell>
          <cell r="B2">
            <v>21600</v>
          </cell>
          <cell r="C2">
            <v>14121.150000000003</v>
          </cell>
        </row>
        <row r="3">
          <cell r="A3" t="str">
            <v>Santa Ana</v>
          </cell>
          <cell r="B3">
            <v>19200</v>
          </cell>
          <cell r="C3">
            <v>13615.799999999997</v>
          </cell>
        </row>
        <row r="4">
          <cell r="A4" t="str">
            <v>San Miguel</v>
          </cell>
          <cell r="B4">
            <v>18000</v>
          </cell>
          <cell r="C4">
            <v>11621.120000000008</v>
          </cell>
        </row>
        <row r="5">
          <cell r="A5" t="str">
            <v>Soyapango</v>
          </cell>
          <cell r="B5">
            <v>19200</v>
          </cell>
          <cell r="C5">
            <v>11993.029999999997</v>
          </cell>
        </row>
        <row r="6">
          <cell r="A6" t="str">
            <v>Metrocentro</v>
          </cell>
          <cell r="B6">
            <v>20400</v>
          </cell>
          <cell r="C6">
            <v>13151.56</v>
          </cell>
        </row>
        <row r="7">
          <cell r="A7" t="str">
            <v>Usulután</v>
          </cell>
          <cell r="B7">
            <v>16800</v>
          </cell>
          <cell r="C7">
            <v>12403.31</v>
          </cell>
        </row>
        <row r="8">
          <cell r="A8" t="str">
            <v>La Libertad</v>
          </cell>
          <cell r="B8">
            <v>16800</v>
          </cell>
          <cell r="C8">
            <v>10665.509999999998</v>
          </cell>
        </row>
        <row r="9">
          <cell r="A9" t="str">
            <v>Chalatenango</v>
          </cell>
          <cell r="B9">
            <v>18000</v>
          </cell>
          <cell r="C9">
            <v>16334.340000000004</v>
          </cell>
        </row>
      </sheetData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José Flores Henríquez" refreshedDate="46121.924862499996" createdVersion="8" refreshedVersion="8" minRefreshableVersion="3" recordCount="24" xr:uid="{5E251B40-00B1-C245-B087-FFF3834B3C53}">
  <cacheSource type="worksheet">
    <worksheetSource name="employees"/>
  </cacheSource>
  <cacheFields count="6">
    <cacheField name="employee_id" numFmtId="49">
      <sharedItems containsSemiMixedTypes="0" containsString="0" containsNumber="1" containsInteger="1" minValue="1" maxValue="24"/>
    </cacheField>
    <cacheField name="name" numFmtId="49">
      <sharedItems/>
    </cacheField>
    <cacheField name="branch_name" numFmtId="49">
      <sharedItems count="8">
        <s v="San Salvador Centro"/>
        <s v="Santa Ana"/>
        <s v="San Miguel"/>
        <s v="Soyapango"/>
        <s v="Metrocentro"/>
        <s v="Usulután"/>
        <s v="La Libertad"/>
        <s v="Chalatenango"/>
      </sharedItems>
    </cacheField>
    <cacheField name="role" numFmtId="49">
      <sharedItems/>
    </cacheField>
    <cacheField name="salary_usd" numFmtId="44">
      <sharedItems containsSemiMixedTypes="0" containsString="0" containsNumber="1" containsInteger="1" minValue="380" maxValue="800"/>
    </cacheField>
    <cacheField name="hire_date" numFmtId="14">
      <sharedItems containsSemiMixedTypes="0" containsNonDate="0" containsDate="1" containsString="0" minDate="2020-01-08T00:00:00" maxDate="2023-11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"/>
    <s v="Carlos Mendoza"/>
    <x v="0"/>
    <s v="Branch Manager"/>
    <n v="800"/>
    <d v="2020-03-15T00:00:00"/>
  </r>
  <r>
    <n v="2"/>
    <s v="Ana García"/>
    <x v="0"/>
    <s v="Sales Associate"/>
    <n v="450"/>
    <d v="2021-06-01T00:00:00"/>
  </r>
  <r>
    <n v="3"/>
    <s v="Roberto Hernández"/>
    <x v="0"/>
    <s v="Cashier"/>
    <n v="380"/>
    <d v="2022-01-10T00:00:00"/>
  </r>
  <r>
    <n v="4"/>
    <s v="María López"/>
    <x v="1"/>
    <s v="Branch Manager"/>
    <n v="800"/>
    <d v="2020-05-20T00:00:00"/>
  </r>
  <r>
    <n v="5"/>
    <s v="José Martínez"/>
    <x v="1"/>
    <s v="Sales Associate"/>
    <n v="450"/>
    <d v="2021-08-15T00:00:00"/>
  </r>
  <r>
    <n v="6"/>
    <s v="Claudia Ramos"/>
    <x v="1"/>
    <s v="Cashier"/>
    <n v="380"/>
    <d v="2023-02-01T00:00:00"/>
  </r>
  <r>
    <n v="7"/>
    <s v="Luis Flores"/>
    <x v="2"/>
    <s v="Branch Manager"/>
    <n v="800"/>
    <d v="2020-01-08T00:00:00"/>
  </r>
  <r>
    <n v="8"/>
    <s v="Patricia Vásquez"/>
    <x v="2"/>
    <s v="Sales Associate"/>
    <n v="450"/>
    <d v="2022-03-20T00:00:00"/>
  </r>
  <r>
    <n v="9"/>
    <s v="Miguel Chávez"/>
    <x v="2"/>
    <s v="Cashier"/>
    <n v="380"/>
    <d v="2023-07-15T00:00:00"/>
  </r>
  <r>
    <n v="10"/>
    <s v="Sandra Orellana"/>
    <x v="3"/>
    <s v="Branch Manager"/>
    <n v="800"/>
    <d v="2020-09-01T00:00:00"/>
  </r>
  <r>
    <n v="11"/>
    <s v="Diego Portillo"/>
    <x v="3"/>
    <s v="Sales Associate"/>
    <n v="450"/>
    <d v="2021-11-10T00:00:00"/>
  </r>
  <r>
    <n v="12"/>
    <s v="Karla Romero"/>
    <x v="3"/>
    <s v="Cashier"/>
    <n v="380"/>
    <d v="2022-05-25T00:00:00"/>
  </r>
  <r>
    <n v="13"/>
    <s v="Francisco Mejía"/>
    <x v="4"/>
    <s v="Branch Manager"/>
    <n v="800"/>
    <d v="2020-02-14T00:00:00"/>
  </r>
  <r>
    <n v="14"/>
    <s v="Verónica Castro"/>
    <x v="4"/>
    <s v="Sales Associate"/>
    <n v="450"/>
    <d v="2021-04-30T00:00:00"/>
  </r>
  <r>
    <n v="15"/>
    <s v="Alejandro Núñez"/>
    <x v="4"/>
    <s v="Cashier"/>
    <n v="380"/>
    <d v="2023-01-20T00:00:00"/>
  </r>
  <r>
    <n v="16"/>
    <s v="Gabriela Serrano"/>
    <x v="5"/>
    <s v="Branch Manager"/>
    <n v="800"/>
    <d v="2020-07-01T00:00:00"/>
  </r>
  <r>
    <n v="17"/>
    <s v="Ernesto Gutiérrez"/>
    <x v="5"/>
    <s v="Sales Associate"/>
    <n v="450"/>
    <d v="2022-09-15T00:00:00"/>
  </r>
  <r>
    <n v="18"/>
    <s v="Mónica Pereira"/>
    <x v="5"/>
    <s v="Cashier"/>
    <n v="380"/>
    <d v="2023-11-01T00:00:00"/>
  </r>
  <r>
    <n v="19"/>
    <s v="Ricardo Molina"/>
    <x v="6"/>
    <s v="Branch Manager"/>
    <n v="800"/>
    <d v="2020-04-10T00:00:00"/>
  </r>
  <r>
    <n v="20"/>
    <s v="Stephanie Aguilar"/>
    <x v="6"/>
    <s v="Sales Associate"/>
    <n v="450"/>
    <d v="2021-12-01T00:00:00"/>
  </r>
  <r>
    <n v="21"/>
    <s v="Héctor Quintanilla"/>
    <x v="6"/>
    <s v="Cashier"/>
    <n v="380"/>
    <d v="2022-08-20T00:00:00"/>
  </r>
  <r>
    <n v="22"/>
    <s v="Ingrid Soriano"/>
    <x v="7"/>
    <s v="Branch Manager"/>
    <n v="800"/>
    <d v="2020-06-15T00:00:00"/>
  </r>
  <r>
    <n v="23"/>
    <s v="Nelson Barrera"/>
    <x v="7"/>
    <s v="Sales Associate"/>
    <n v="450"/>
    <d v="2021-02-28T00:00:00"/>
  </r>
  <r>
    <n v="24"/>
    <s v="Daniela Fuentes"/>
    <x v="7"/>
    <s v="Cashier"/>
    <n v="380"/>
    <d v="2023-04-10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C7299-3E40-464D-A507-752CDF1D4D9C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C10" firstHeaderRow="0" firstDataRow="1" firstDataCol="1"/>
  <pivotFields count="6">
    <pivotField dataField="1" numFmtId="49" showAll="0"/>
    <pivotField showAll="0"/>
    <pivotField axis="axisRow" showAll="0">
      <items count="9">
        <item x="7"/>
        <item x="6"/>
        <item x="4"/>
        <item x="2"/>
        <item x="0"/>
        <item x="1"/>
        <item x="3"/>
        <item x="5"/>
        <item t="default"/>
      </items>
    </pivotField>
    <pivotField showAll="0"/>
    <pivotField dataField="1" numFmtId="44" showAll="0"/>
    <pivotField numFmtId="14"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ary_usd" fld="4" baseField="0" baseItem="0" numFmtId="44"/>
    <dataField name="headcount" fld="0" subtotal="count" baseField="0" baseItem="0" numFmtId="4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C3FDE4-AD83-6C40-AEAA-BF8FA03C6649}" name="employees" displayName="employees" ref="A1:F25" totalsRowShown="0">
  <autoFilter ref="A1:F25" xr:uid="{6CC3FDE4-AD83-6C40-AEAA-BF8FA03C6649}"/>
  <tableColumns count="6">
    <tableColumn id="1" xr3:uid="{B01EAF56-6BFA-2241-B157-6A755B317EBA}" name="employee_id" dataDxfId="11"/>
    <tableColumn id="2" xr3:uid="{480FB531-B0D0-0649-8831-F60078C7B1A6}" name="name" dataDxfId="10"/>
    <tableColumn id="3" xr3:uid="{918DFF97-3F58-FF43-84F4-E2E2B46042A6}" name="branch_name" dataDxfId="9"/>
    <tableColumn id="4" xr3:uid="{4C62BDFC-6537-1742-A661-A5AAF6F5E32C}" name="role" dataDxfId="8"/>
    <tableColumn id="5" xr3:uid="{A7E28243-E359-7840-AC5B-6AEEB1C8AD6E}" name="salary_usd" dataDxfId="7"/>
    <tableColumn id="6" xr3:uid="{D9ADABD6-1ED1-BF4C-868D-B1E6E35AE859}" name="hire_date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6AF2CD-6C63-3F4F-B377-025C7C530EB7}" name="KPIs" displayName="KPIs" ref="A1:G9" totalsRowShown="0">
  <autoFilter ref="A1:G9" xr:uid="{3A6AF2CD-6C63-3F4F-B377-025C7C530EB7}"/>
  <tableColumns count="7">
    <tableColumn id="1" xr3:uid="{D6F866D1-AD40-5143-BC4D-FDC522ABC912}" name="branch_name" dataDxfId="5"/>
    <tableColumn id="2" xr3:uid="{E36732D8-FF59-AE40-BF89-57BFCFC20CC4}" name="total_payroll" dataDxfId="4">
      <calculatedColumnFormula>VLOOKUP(A2,Analysis!$A:$C,2,0)</calculatedColumnFormula>
    </tableColumn>
    <tableColumn id="3" xr3:uid="{C568D223-2282-854E-A5F7-641EEA635EA1}" name="headcount">
      <calculatedColumnFormula>VLOOKUP(A2,Analysis!$A:$C,3,0)</calculatedColumnFormula>
    </tableColumn>
    <tableColumn id="4" xr3:uid="{F8B44307-CF6C-BA4E-8161-DBD65A9D233F}" name="actual_usd" dataDxfId="3">
      <calculatedColumnFormula>VLOOKUP(A2,[1]Budget_vs_Actual!$A:$C,3,0)</calculatedColumnFormula>
    </tableColumn>
    <tableColumn id="5" xr3:uid="{5218A976-A95A-8944-A14E-F0A051CA5AB7}" name="revenue_per_employee" dataDxfId="2" dataCellStyle="Percent">
      <calculatedColumnFormula>D2/C2</calculatedColumnFormula>
    </tableColumn>
    <tableColumn id="6" xr3:uid="{9467038D-3070-2146-A309-8951866BE78E}" name="payroll_ratio" dataDxfId="1" dataCellStyle="Percent">
      <calculatedColumnFormula>B2/D2</calculatedColumnFormula>
    </tableColumn>
    <tableColumn id="7" xr3:uid="{F8D43D8F-3C9D-F243-8D03-B06B8C46AFE4}" name="efficiency_status" dataDxfId="0">
      <calculatedColumnFormula array="1">_xlfn.IFS(KPIs[[#This Row],[revenue_per_employee]]&gt;=5000,"🟢 High",KPIs[[#This Row],[revenue_per_employee]]&gt;=4000,"🟡 Medium",KPIs[[#This Row],[revenue_per_employee]]&lt;4000,"🔴 Low")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19C87-DE01-1E47-B9C7-D97754C53BEF}">
  <dimension ref="A1:F25"/>
  <sheetViews>
    <sheetView zoomScale="140" zoomScaleNormal="140" workbookViewId="0">
      <selection activeCell="B7" sqref="B7"/>
    </sheetView>
  </sheetViews>
  <sheetFormatPr baseColWidth="10" defaultRowHeight="16" x14ac:dyDescent="0.2"/>
  <cols>
    <col min="1" max="1" width="13.5" customWidth="1"/>
    <col min="2" max="2" width="17.1640625" customWidth="1"/>
    <col min="3" max="3" width="17.6640625" bestFit="1" customWidth="1"/>
    <col min="4" max="4" width="14.33203125" bestFit="1" customWidth="1"/>
    <col min="5" max="5" width="11.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3">
        <v>1</v>
      </c>
      <c r="B2" s="3" t="s">
        <v>40</v>
      </c>
      <c r="C2" s="3" t="s">
        <v>6</v>
      </c>
      <c r="D2" s="3" t="s">
        <v>14</v>
      </c>
      <c r="E2" s="2">
        <v>800</v>
      </c>
      <c r="F2" s="1">
        <v>43905</v>
      </c>
    </row>
    <row r="3" spans="1:6" x14ac:dyDescent="0.2">
      <c r="A3" s="3">
        <v>2</v>
      </c>
      <c r="B3" s="3" t="s">
        <v>39</v>
      </c>
      <c r="C3" s="3" t="s">
        <v>6</v>
      </c>
      <c r="D3" s="3" t="s">
        <v>15</v>
      </c>
      <c r="E3" s="2">
        <v>450</v>
      </c>
      <c r="F3" s="1">
        <v>44348</v>
      </c>
    </row>
    <row r="4" spans="1:6" x14ac:dyDescent="0.2">
      <c r="A4" s="3">
        <v>3</v>
      </c>
      <c r="B4" s="3" t="s">
        <v>38</v>
      </c>
      <c r="C4" s="3" t="s">
        <v>6</v>
      </c>
      <c r="D4" s="3" t="s">
        <v>16</v>
      </c>
      <c r="E4" s="2">
        <v>380</v>
      </c>
      <c r="F4" s="1">
        <v>44571</v>
      </c>
    </row>
    <row r="5" spans="1:6" x14ac:dyDescent="0.2">
      <c r="A5" s="3">
        <v>4</v>
      </c>
      <c r="B5" s="3" t="s">
        <v>37</v>
      </c>
      <c r="C5" s="3" t="s">
        <v>7</v>
      </c>
      <c r="D5" s="3" t="s">
        <v>14</v>
      </c>
      <c r="E5" s="2">
        <v>800</v>
      </c>
      <c r="F5" s="1">
        <v>43971</v>
      </c>
    </row>
    <row r="6" spans="1:6" x14ac:dyDescent="0.2">
      <c r="A6" s="3">
        <v>5</v>
      </c>
      <c r="B6" s="3" t="s">
        <v>36</v>
      </c>
      <c r="C6" s="3" t="s">
        <v>7</v>
      </c>
      <c r="D6" s="3" t="s">
        <v>15</v>
      </c>
      <c r="E6" s="2">
        <v>450</v>
      </c>
      <c r="F6" s="1">
        <v>44423</v>
      </c>
    </row>
    <row r="7" spans="1:6" x14ac:dyDescent="0.2">
      <c r="A7" s="3">
        <v>6</v>
      </c>
      <c r="B7" s="3" t="s">
        <v>35</v>
      </c>
      <c r="C7" s="3" t="s">
        <v>7</v>
      </c>
      <c r="D7" s="3" t="s">
        <v>16</v>
      </c>
      <c r="E7" s="2">
        <v>380</v>
      </c>
      <c r="F7" s="1">
        <v>44958</v>
      </c>
    </row>
    <row r="8" spans="1:6" x14ac:dyDescent="0.2">
      <c r="A8" s="3">
        <v>7</v>
      </c>
      <c r="B8" s="3" t="s">
        <v>34</v>
      </c>
      <c r="C8" s="3" t="s">
        <v>8</v>
      </c>
      <c r="D8" s="3" t="s">
        <v>14</v>
      </c>
      <c r="E8" s="2">
        <v>800</v>
      </c>
      <c r="F8" s="1">
        <v>43838</v>
      </c>
    </row>
    <row r="9" spans="1:6" x14ac:dyDescent="0.2">
      <c r="A9" s="3">
        <v>8</v>
      </c>
      <c r="B9" s="3" t="s">
        <v>33</v>
      </c>
      <c r="C9" s="3" t="s">
        <v>8</v>
      </c>
      <c r="D9" s="3" t="s">
        <v>15</v>
      </c>
      <c r="E9" s="2">
        <v>450</v>
      </c>
      <c r="F9" s="1">
        <v>44640</v>
      </c>
    </row>
    <row r="10" spans="1:6" x14ac:dyDescent="0.2">
      <c r="A10" s="3">
        <v>9</v>
      </c>
      <c r="B10" s="3" t="s">
        <v>32</v>
      </c>
      <c r="C10" s="3" t="s">
        <v>8</v>
      </c>
      <c r="D10" s="3" t="s">
        <v>16</v>
      </c>
      <c r="E10" s="2">
        <v>380</v>
      </c>
      <c r="F10" s="1">
        <v>45122</v>
      </c>
    </row>
    <row r="11" spans="1:6" x14ac:dyDescent="0.2">
      <c r="A11" s="3">
        <v>10</v>
      </c>
      <c r="B11" s="3" t="s">
        <v>31</v>
      </c>
      <c r="C11" s="3" t="s">
        <v>9</v>
      </c>
      <c r="D11" s="3" t="s">
        <v>14</v>
      </c>
      <c r="E11" s="2">
        <v>800</v>
      </c>
      <c r="F11" s="1">
        <v>44075</v>
      </c>
    </row>
    <row r="12" spans="1:6" x14ac:dyDescent="0.2">
      <c r="A12" s="3">
        <v>11</v>
      </c>
      <c r="B12" s="3" t="s">
        <v>30</v>
      </c>
      <c r="C12" s="3" t="s">
        <v>9</v>
      </c>
      <c r="D12" s="3" t="s">
        <v>15</v>
      </c>
      <c r="E12" s="2">
        <v>450</v>
      </c>
      <c r="F12" s="1">
        <v>44510</v>
      </c>
    </row>
    <row r="13" spans="1:6" x14ac:dyDescent="0.2">
      <c r="A13" s="3">
        <v>12</v>
      </c>
      <c r="B13" s="3" t="s">
        <v>29</v>
      </c>
      <c r="C13" s="3" t="s">
        <v>9</v>
      </c>
      <c r="D13" s="3" t="s">
        <v>16</v>
      </c>
      <c r="E13" s="2">
        <v>380</v>
      </c>
      <c r="F13" s="1">
        <v>44706</v>
      </c>
    </row>
    <row r="14" spans="1:6" x14ac:dyDescent="0.2">
      <c r="A14" s="3">
        <v>13</v>
      </c>
      <c r="B14" s="3" t="s">
        <v>28</v>
      </c>
      <c r="C14" s="3" t="s">
        <v>10</v>
      </c>
      <c r="D14" s="3" t="s">
        <v>14</v>
      </c>
      <c r="E14" s="2">
        <v>800</v>
      </c>
      <c r="F14" s="1">
        <v>43875</v>
      </c>
    </row>
    <row r="15" spans="1:6" x14ac:dyDescent="0.2">
      <c r="A15" s="3">
        <v>14</v>
      </c>
      <c r="B15" s="3" t="s">
        <v>27</v>
      </c>
      <c r="C15" s="3" t="s">
        <v>10</v>
      </c>
      <c r="D15" s="3" t="s">
        <v>15</v>
      </c>
      <c r="E15" s="2">
        <v>450</v>
      </c>
      <c r="F15" s="1">
        <v>44316</v>
      </c>
    </row>
    <row r="16" spans="1:6" x14ac:dyDescent="0.2">
      <c r="A16" s="3">
        <v>15</v>
      </c>
      <c r="B16" s="3" t="s">
        <v>26</v>
      </c>
      <c r="C16" s="3" t="s">
        <v>10</v>
      </c>
      <c r="D16" s="3" t="s">
        <v>16</v>
      </c>
      <c r="E16" s="2">
        <v>380</v>
      </c>
      <c r="F16" s="1">
        <v>44946</v>
      </c>
    </row>
    <row r="17" spans="1:6" x14ac:dyDescent="0.2">
      <c r="A17" s="3">
        <v>16</v>
      </c>
      <c r="B17" s="3" t="s">
        <v>25</v>
      </c>
      <c r="C17" s="3" t="s">
        <v>11</v>
      </c>
      <c r="D17" s="3" t="s">
        <v>14</v>
      </c>
      <c r="E17" s="2">
        <v>800</v>
      </c>
      <c r="F17" s="1">
        <v>44013</v>
      </c>
    </row>
    <row r="18" spans="1:6" x14ac:dyDescent="0.2">
      <c r="A18" s="3">
        <v>17</v>
      </c>
      <c r="B18" s="3" t="s">
        <v>24</v>
      </c>
      <c r="C18" s="3" t="s">
        <v>11</v>
      </c>
      <c r="D18" s="3" t="s">
        <v>15</v>
      </c>
      <c r="E18" s="2">
        <v>450</v>
      </c>
      <c r="F18" s="1">
        <v>44819</v>
      </c>
    </row>
    <row r="19" spans="1:6" x14ac:dyDescent="0.2">
      <c r="A19" s="3">
        <v>18</v>
      </c>
      <c r="B19" s="3" t="s">
        <v>23</v>
      </c>
      <c r="C19" s="3" t="s">
        <v>11</v>
      </c>
      <c r="D19" s="3" t="s">
        <v>16</v>
      </c>
      <c r="E19" s="2">
        <v>380</v>
      </c>
      <c r="F19" s="1">
        <v>45231</v>
      </c>
    </row>
    <row r="20" spans="1:6" x14ac:dyDescent="0.2">
      <c r="A20" s="3">
        <v>19</v>
      </c>
      <c r="B20" s="3" t="s">
        <v>22</v>
      </c>
      <c r="C20" s="3" t="s">
        <v>12</v>
      </c>
      <c r="D20" s="3" t="s">
        <v>14</v>
      </c>
      <c r="E20" s="2">
        <v>800</v>
      </c>
      <c r="F20" s="1">
        <v>43931</v>
      </c>
    </row>
    <row r="21" spans="1:6" x14ac:dyDescent="0.2">
      <c r="A21" s="3">
        <v>20</v>
      </c>
      <c r="B21" s="3" t="s">
        <v>21</v>
      </c>
      <c r="C21" s="3" t="s">
        <v>12</v>
      </c>
      <c r="D21" s="3" t="s">
        <v>15</v>
      </c>
      <c r="E21" s="2">
        <v>450</v>
      </c>
      <c r="F21" s="1">
        <v>44531</v>
      </c>
    </row>
    <row r="22" spans="1:6" x14ac:dyDescent="0.2">
      <c r="A22" s="3">
        <v>21</v>
      </c>
      <c r="B22" s="3" t="s">
        <v>20</v>
      </c>
      <c r="C22" s="3" t="s">
        <v>12</v>
      </c>
      <c r="D22" s="3" t="s">
        <v>16</v>
      </c>
      <c r="E22" s="2">
        <v>380</v>
      </c>
      <c r="F22" s="1">
        <v>44793</v>
      </c>
    </row>
    <row r="23" spans="1:6" x14ac:dyDescent="0.2">
      <c r="A23" s="3">
        <v>22</v>
      </c>
      <c r="B23" s="3" t="s">
        <v>19</v>
      </c>
      <c r="C23" s="3" t="s">
        <v>13</v>
      </c>
      <c r="D23" s="3" t="s">
        <v>14</v>
      </c>
      <c r="E23" s="2">
        <v>800</v>
      </c>
      <c r="F23" s="1">
        <v>43997</v>
      </c>
    </row>
    <row r="24" spans="1:6" x14ac:dyDescent="0.2">
      <c r="A24" s="3">
        <v>23</v>
      </c>
      <c r="B24" s="3" t="s">
        <v>18</v>
      </c>
      <c r="C24" s="3" t="s">
        <v>13</v>
      </c>
      <c r="D24" s="3" t="s">
        <v>15</v>
      </c>
      <c r="E24" s="2">
        <v>450</v>
      </c>
      <c r="F24" s="1">
        <v>44255</v>
      </c>
    </row>
    <row r="25" spans="1:6" x14ac:dyDescent="0.2">
      <c r="A25" s="3">
        <v>24</v>
      </c>
      <c r="B25" s="3" t="s">
        <v>17</v>
      </c>
      <c r="C25" s="3" t="s">
        <v>13</v>
      </c>
      <c r="D25" s="3" t="s">
        <v>16</v>
      </c>
      <c r="E25" s="2">
        <v>380</v>
      </c>
      <c r="F25" s="1">
        <v>45026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2B8F5-6C59-FD45-A435-29D8E99DE99D}">
  <dimension ref="A1:G9"/>
  <sheetViews>
    <sheetView tabSelected="1" workbookViewId="0">
      <selection activeCell="G3" sqref="G3"/>
    </sheetView>
  </sheetViews>
  <sheetFormatPr baseColWidth="10" defaultRowHeight="16" x14ac:dyDescent="0.2"/>
  <cols>
    <col min="1" max="1" width="17.6640625" bestFit="1" customWidth="1"/>
    <col min="2" max="2" width="13.83203125" bestFit="1" customWidth="1"/>
    <col min="3" max="3" width="12.33203125" bestFit="1" customWidth="1"/>
    <col min="4" max="4" width="12.6640625" bestFit="1" customWidth="1"/>
    <col min="5" max="5" width="22.6640625" bestFit="1" customWidth="1"/>
    <col min="6" max="6" width="13.83203125" bestFit="1" customWidth="1"/>
    <col min="7" max="7" width="18" bestFit="1" customWidth="1"/>
  </cols>
  <sheetData>
    <row r="1" spans="1:7" x14ac:dyDescent="0.2">
      <c r="A1" t="s">
        <v>2</v>
      </c>
      <c r="B1" t="s">
        <v>45</v>
      </c>
      <c r="C1" t="s">
        <v>44</v>
      </c>
      <c r="D1" t="s">
        <v>46</v>
      </c>
      <c r="E1" t="s">
        <v>47</v>
      </c>
      <c r="F1" t="s">
        <v>48</v>
      </c>
      <c r="G1" t="s">
        <v>49</v>
      </c>
    </row>
    <row r="2" spans="1:7" x14ac:dyDescent="0.2">
      <c r="A2" s="5" t="s">
        <v>13</v>
      </c>
      <c r="B2" s="2">
        <f>VLOOKUP(A2,Analysis!$A:$C,2,0)</f>
        <v>1630</v>
      </c>
      <c r="C2">
        <f>VLOOKUP(A2,Analysis!$A:$C,3,0)</f>
        <v>3</v>
      </c>
      <c r="D2" s="2">
        <f>VLOOKUP(A2,[1]Budget_vs_Actual!$A:$C,3,0)</f>
        <v>16334.340000000004</v>
      </c>
      <c r="E2" s="7">
        <f>D2/C2</f>
        <v>5444.7800000000016</v>
      </c>
      <c r="F2" s="6">
        <f>B2/D2</f>
        <v>9.9789768059193068E-2</v>
      </c>
      <c r="G2" t="str" cm="1">
        <f t="array" ref="G2">_xlfn.IFS(KPIs[[#This Row],[revenue_per_employee]]&gt;=5000,"🟢 High",KPIs[[#This Row],[revenue_per_employee]]&gt;=4000,"🟡 Medium",KPIs[[#This Row],[revenue_per_employee]]&lt;4000,"🔴 Low")</f>
        <v>🟢 High</v>
      </c>
    </row>
    <row r="3" spans="1:7" x14ac:dyDescent="0.2">
      <c r="A3" s="5" t="s">
        <v>12</v>
      </c>
      <c r="B3" s="2">
        <f>VLOOKUP(A3,Analysis!$A:$C,2,0)</f>
        <v>1630</v>
      </c>
      <c r="C3">
        <f>VLOOKUP(A3,Analysis!$A:$C,3,0)</f>
        <v>3</v>
      </c>
      <c r="D3" s="2">
        <f>VLOOKUP(A3,[1]Budget_vs_Actual!$A:$C,3,0)</f>
        <v>10665.509999999998</v>
      </c>
      <c r="E3" s="7">
        <f t="shared" ref="E3:E9" si="0">D3/C3</f>
        <v>3555.1699999999996</v>
      </c>
      <c r="F3" s="6">
        <f t="shared" ref="F3:F9" si="1">B3/D3</f>
        <v>0.15282907240253868</v>
      </c>
      <c r="G3" t="str" cm="1">
        <f t="array" ref="G3">_xlfn.IFS(KPIs[[#This Row],[revenue_per_employee]]&gt;=5000,"🟢 High",KPIs[[#This Row],[revenue_per_employee]]&gt;=4000,"🟡 Medium",KPIs[[#This Row],[revenue_per_employee]]&lt;4000,"🔴 Low")</f>
        <v>🔴 Low</v>
      </c>
    </row>
    <row r="4" spans="1:7" x14ac:dyDescent="0.2">
      <c r="A4" s="5" t="s">
        <v>10</v>
      </c>
      <c r="B4" s="2">
        <f>VLOOKUP(A4,Analysis!$A:$C,2,0)</f>
        <v>1630</v>
      </c>
      <c r="C4">
        <f>VLOOKUP(A4,Analysis!$A:$C,3,0)</f>
        <v>3</v>
      </c>
      <c r="D4" s="2">
        <f>VLOOKUP(A4,[1]Budget_vs_Actual!$A:$C,3,0)</f>
        <v>13151.56</v>
      </c>
      <c r="E4" s="7">
        <f t="shared" si="0"/>
        <v>4383.8533333333335</v>
      </c>
      <c r="F4" s="6">
        <f t="shared" si="1"/>
        <v>0.12393966951449106</v>
      </c>
      <c r="G4" t="str" cm="1">
        <f t="array" ref="G4">_xlfn.IFS(KPIs[[#This Row],[revenue_per_employee]]&gt;=5000,"🟢 High",KPIs[[#This Row],[revenue_per_employee]]&gt;=4000,"🟡 Medium",KPIs[[#This Row],[revenue_per_employee]]&lt;4000,"🔴 Low")</f>
        <v>🟡 Medium</v>
      </c>
    </row>
    <row r="5" spans="1:7" x14ac:dyDescent="0.2">
      <c r="A5" s="5" t="s">
        <v>8</v>
      </c>
      <c r="B5" s="2">
        <f>VLOOKUP(A5,Analysis!$A:$C,2,0)</f>
        <v>1630</v>
      </c>
      <c r="C5">
        <f>VLOOKUP(A5,Analysis!$A:$C,3,0)</f>
        <v>3</v>
      </c>
      <c r="D5" s="2">
        <f>VLOOKUP(A5,[1]Budget_vs_Actual!$A:$C,3,0)</f>
        <v>11621.120000000008</v>
      </c>
      <c r="E5" s="7">
        <f t="shared" si="0"/>
        <v>3873.7066666666692</v>
      </c>
      <c r="F5" s="6">
        <f t="shared" si="1"/>
        <v>0.14026186804714166</v>
      </c>
      <c r="G5" t="str" cm="1">
        <f t="array" ref="G5">_xlfn.IFS(KPIs[[#This Row],[revenue_per_employee]]&gt;=5000,"🟢 High",KPIs[[#This Row],[revenue_per_employee]]&gt;=4000,"🟡 Medium",KPIs[[#This Row],[revenue_per_employee]]&lt;4000,"🔴 Low")</f>
        <v>🔴 Low</v>
      </c>
    </row>
    <row r="6" spans="1:7" x14ac:dyDescent="0.2">
      <c r="A6" s="5" t="s">
        <v>6</v>
      </c>
      <c r="B6" s="2">
        <f>VLOOKUP(A6,Analysis!$A:$C,2,0)</f>
        <v>1630</v>
      </c>
      <c r="C6">
        <f>VLOOKUP(A6,Analysis!$A:$C,3,0)</f>
        <v>3</v>
      </c>
      <c r="D6" s="2">
        <f>VLOOKUP(A6,[1]Budget_vs_Actual!$A:$C,3,0)</f>
        <v>14121.150000000003</v>
      </c>
      <c r="E6" s="7">
        <f t="shared" si="0"/>
        <v>4707.0500000000011</v>
      </c>
      <c r="F6" s="6">
        <f t="shared" si="1"/>
        <v>0.11542969234092122</v>
      </c>
      <c r="G6" t="str" cm="1">
        <f t="array" ref="G6">_xlfn.IFS(KPIs[[#This Row],[revenue_per_employee]]&gt;=5000,"🟢 High",KPIs[[#This Row],[revenue_per_employee]]&gt;=4000,"🟡 Medium",KPIs[[#This Row],[revenue_per_employee]]&lt;4000,"🔴 Low")</f>
        <v>🟡 Medium</v>
      </c>
    </row>
    <row r="7" spans="1:7" x14ac:dyDescent="0.2">
      <c r="A7" s="5" t="s">
        <v>7</v>
      </c>
      <c r="B7" s="2">
        <f>VLOOKUP(A7,Analysis!$A:$C,2,0)</f>
        <v>1630</v>
      </c>
      <c r="C7">
        <f>VLOOKUP(A7,Analysis!$A:$C,3,0)</f>
        <v>3</v>
      </c>
      <c r="D7" s="2">
        <f>VLOOKUP(A7,[1]Budget_vs_Actual!$A:$C,3,0)</f>
        <v>13615.799999999997</v>
      </c>
      <c r="E7" s="7">
        <f t="shared" si="0"/>
        <v>4538.5999999999995</v>
      </c>
      <c r="F7" s="6">
        <f t="shared" si="1"/>
        <v>0.11971386183698353</v>
      </c>
      <c r="G7" t="str" cm="1">
        <f t="array" ref="G7">_xlfn.IFS(KPIs[[#This Row],[revenue_per_employee]]&gt;=5000,"🟢 High",KPIs[[#This Row],[revenue_per_employee]]&gt;=4000,"🟡 Medium",KPIs[[#This Row],[revenue_per_employee]]&lt;4000,"🔴 Low")</f>
        <v>🟡 Medium</v>
      </c>
    </row>
    <row r="8" spans="1:7" x14ac:dyDescent="0.2">
      <c r="A8" s="5" t="s">
        <v>9</v>
      </c>
      <c r="B8" s="2">
        <f>VLOOKUP(A8,Analysis!$A:$C,2,0)</f>
        <v>1630</v>
      </c>
      <c r="C8">
        <f>VLOOKUP(A8,Analysis!$A:$C,3,0)</f>
        <v>3</v>
      </c>
      <c r="D8" s="2">
        <f>VLOOKUP(A8,[1]Budget_vs_Actual!$A:$C,3,0)</f>
        <v>11993.029999999997</v>
      </c>
      <c r="E8" s="7">
        <f t="shared" si="0"/>
        <v>3997.6766666666658</v>
      </c>
      <c r="F8" s="6">
        <f t="shared" si="1"/>
        <v>0.13591227571347694</v>
      </c>
      <c r="G8" t="str" cm="1">
        <f t="array" ref="G8">_xlfn.IFS(KPIs[[#This Row],[revenue_per_employee]]&gt;=5000,"🟢 High",KPIs[[#This Row],[revenue_per_employee]]&gt;=4000,"🟡 Medium",KPIs[[#This Row],[revenue_per_employee]]&lt;4000,"🔴 Low")</f>
        <v>🔴 Low</v>
      </c>
    </row>
    <row r="9" spans="1:7" x14ac:dyDescent="0.2">
      <c r="A9" s="5" t="s">
        <v>11</v>
      </c>
      <c r="B9" s="2">
        <f>VLOOKUP(A9,Analysis!$A:$C,2,0)</f>
        <v>1630</v>
      </c>
      <c r="C9">
        <f>VLOOKUP(A9,Analysis!$A:$C,3,0)</f>
        <v>3</v>
      </c>
      <c r="D9" s="2">
        <f>VLOOKUP(A9,[1]Budget_vs_Actual!$A:$C,3,0)</f>
        <v>12403.31</v>
      </c>
      <c r="E9" s="7">
        <f t="shared" si="0"/>
        <v>4134.4366666666665</v>
      </c>
      <c r="F9" s="6">
        <f t="shared" si="1"/>
        <v>0.13141653316735613</v>
      </c>
      <c r="G9" t="str" cm="1">
        <f t="array" ref="G9">_xlfn.IFS(KPIs[[#This Row],[revenue_per_employee]]&gt;=5000,"🟢 High",KPIs[[#This Row],[revenue_per_employee]]&gt;=4000,"🟡 Medium",KPIs[[#This Row],[revenue_per_employee]]&lt;4000,"🔴 Low")</f>
        <v>🟡 Medium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43E15-49C3-DF44-BDD8-1ACF813F169C}">
  <dimension ref="A1:C10"/>
  <sheetViews>
    <sheetView workbookViewId="0">
      <selection activeCell="A9" sqref="A2:A9"/>
    </sheetView>
  </sheetViews>
  <sheetFormatPr baseColWidth="10" defaultRowHeight="16" x14ac:dyDescent="0.2"/>
  <cols>
    <col min="1" max="1" width="17.6640625" bestFit="1" customWidth="1"/>
    <col min="2" max="2" width="16" bestFit="1" customWidth="1"/>
    <col min="3" max="3" width="9.83203125" bestFit="1" customWidth="1"/>
  </cols>
  <sheetData>
    <row r="1" spans="1:3" x14ac:dyDescent="0.2">
      <c r="A1" s="4" t="s">
        <v>41</v>
      </c>
      <c r="B1" t="s">
        <v>43</v>
      </c>
      <c r="C1" t="s">
        <v>44</v>
      </c>
    </row>
    <row r="2" spans="1:3" x14ac:dyDescent="0.2">
      <c r="A2" s="5" t="s">
        <v>13</v>
      </c>
      <c r="B2" s="2">
        <v>1630</v>
      </c>
      <c r="C2" s="3">
        <v>3</v>
      </c>
    </row>
    <row r="3" spans="1:3" x14ac:dyDescent="0.2">
      <c r="A3" s="5" t="s">
        <v>12</v>
      </c>
      <c r="B3" s="2">
        <v>1630</v>
      </c>
      <c r="C3" s="3">
        <v>3</v>
      </c>
    </row>
    <row r="4" spans="1:3" x14ac:dyDescent="0.2">
      <c r="A4" s="5" t="s">
        <v>10</v>
      </c>
      <c r="B4" s="2">
        <v>1630</v>
      </c>
      <c r="C4" s="3">
        <v>3</v>
      </c>
    </row>
    <row r="5" spans="1:3" x14ac:dyDescent="0.2">
      <c r="A5" s="5" t="s">
        <v>8</v>
      </c>
      <c r="B5" s="2">
        <v>1630</v>
      </c>
      <c r="C5" s="3">
        <v>3</v>
      </c>
    </row>
    <row r="6" spans="1:3" x14ac:dyDescent="0.2">
      <c r="A6" s="5" t="s">
        <v>6</v>
      </c>
      <c r="B6" s="2">
        <v>1630</v>
      </c>
      <c r="C6" s="3">
        <v>3</v>
      </c>
    </row>
    <row r="7" spans="1:3" x14ac:dyDescent="0.2">
      <c r="A7" s="5" t="s">
        <v>7</v>
      </c>
      <c r="B7" s="2">
        <v>1630</v>
      </c>
      <c r="C7" s="3">
        <v>3</v>
      </c>
    </row>
    <row r="8" spans="1:3" x14ac:dyDescent="0.2">
      <c r="A8" s="5" t="s">
        <v>9</v>
      </c>
      <c r="B8" s="2">
        <v>1630</v>
      </c>
      <c r="C8" s="3">
        <v>3</v>
      </c>
    </row>
    <row r="9" spans="1:3" x14ac:dyDescent="0.2">
      <c r="A9" s="5" t="s">
        <v>11</v>
      </c>
      <c r="B9" s="2">
        <v>1630</v>
      </c>
      <c r="C9" s="3">
        <v>3</v>
      </c>
    </row>
    <row r="10" spans="1:3" x14ac:dyDescent="0.2">
      <c r="A10" s="5" t="s">
        <v>42</v>
      </c>
      <c r="B10" s="2">
        <v>13040</v>
      </c>
      <c r="C10" s="3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KPIs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Flores</dc:creator>
  <cp:lastModifiedBy>Jose Flores</cp:lastModifiedBy>
  <dcterms:created xsi:type="dcterms:W3CDTF">2026-04-10T03:39:52Z</dcterms:created>
  <dcterms:modified xsi:type="dcterms:W3CDTF">2026-04-11T01:19:51Z</dcterms:modified>
</cp:coreProperties>
</file>