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oseflores/Desktop/Proyectos/sales-analytics-sv/backend/data/excel-analysis/"/>
    </mc:Choice>
  </mc:AlternateContent>
  <xr:revisionPtr revIDLastSave="0" documentId="13_ncr:1_{31F0FFD4-FB71-ED48-8F48-42AC8F40646B}" xr6:coauthVersionLast="47" xr6:coauthVersionMax="47" xr10:uidLastSave="{00000000-0000-0000-0000-000000000000}"/>
  <bookViews>
    <workbookView xWindow="0" yWindow="0" windowWidth="28800" windowHeight="18000" activeTab="1" xr2:uid="{C18922A9-7944-8B45-939F-E2BFAD25CB4A}"/>
  </bookViews>
  <sheets>
    <sheet name="Campaigns" sheetId="1" r:id="rId1"/>
    <sheet name="ROI_Analysis" sheetId="2" r:id="rId2"/>
  </sheets>
  <externalReferences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2" l="1"/>
  <c r="E11" i="2" s="1"/>
  <c r="G11" i="2" s="1"/>
  <c r="G3" i="2"/>
  <c r="G4" i="2"/>
  <c r="G5" i="2"/>
  <c r="G6" i="2"/>
  <c r="G7" i="2"/>
  <c r="G8" i="2"/>
  <c r="G9" i="2"/>
  <c r="G10" i="2"/>
  <c r="G12" i="2"/>
  <c r="G13" i="2"/>
  <c r="G2" i="2"/>
  <c r="I3" i="2"/>
  <c r="I4" i="2"/>
  <c r="I5" i="2"/>
  <c r="I6" i="2"/>
  <c r="I7" i="2"/>
  <c r="I8" i="2"/>
  <c r="I9" i="2"/>
  <c r="I10" i="2"/>
  <c r="I12" i="2"/>
  <c r="I13" i="2"/>
  <c r="I2" i="2"/>
  <c r="H3" i="2"/>
  <c r="H4" i="2"/>
  <c r="H5" i="2"/>
  <c r="H6" i="2"/>
  <c r="H7" i="2"/>
  <c r="H8" i="2"/>
  <c r="H9" i="2"/>
  <c r="H10" i="2"/>
  <c r="H12" i="2"/>
  <c r="H13" i="2"/>
  <c r="H2" i="2"/>
  <c r="K3" i="2"/>
  <c r="K4" i="2"/>
  <c r="K5" i="2"/>
  <c r="K6" i="2"/>
  <c r="K7" i="2"/>
  <c r="K8" i="2"/>
  <c r="K9" i="2"/>
  <c r="K10" i="2"/>
  <c r="K11" i="2"/>
  <c r="K12" i="2"/>
  <c r="K13" i="2"/>
  <c r="K2" i="2"/>
  <c r="J3" i="2"/>
  <c r="J4" i="2"/>
  <c r="J5" i="2"/>
  <c r="J6" i="2"/>
  <c r="J7" i="2"/>
  <c r="J8" i="2"/>
  <c r="J9" i="2"/>
  <c r="J10" i="2"/>
  <c r="J11" i="2"/>
  <c r="J12" i="2"/>
  <c r="J13" i="2"/>
  <c r="J2" i="2"/>
  <c r="F3" i="2"/>
  <c r="F4" i="2"/>
  <c r="F5" i="2"/>
  <c r="F6" i="2"/>
  <c r="F7" i="2"/>
  <c r="F8" i="2"/>
  <c r="F9" i="2"/>
  <c r="F10" i="2"/>
  <c r="F12" i="2"/>
  <c r="F13" i="2"/>
  <c r="F2" i="2"/>
  <c r="E3" i="2"/>
  <c r="E4" i="2"/>
  <c r="E5" i="2"/>
  <c r="E6" i="2"/>
  <c r="E7" i="2"/>
  <c r="E8" i="2"/>
  <c r="E9" i="2"/>
  <c r="E10" i="2"/>
  <c r="E12" i="2"/>
  <c r="E13" i="2"/>
  <c r="E2" i="2"/>
  <c r="D3" i="2"/>
  <c r="D4" i="2"/>
  <c r="D5" i="2"/>
  <c r="D6" i="2"/>
  <c r="D7" i="2"/>
  <c r="D8" i="2"/>
  <c r="D9" i="2"/>
  <c r="D10" i="2"/>
  <c r="D11" i="2"/>
  <c r="D12" i="2"/>
  <c r="D13" i="2"/>
  <c r="D2" i="2"/>
  <c r="C3" i="2"/>
  <c r="C4" i="2"/>
  <c r="C5" i="2"/>
  <c r="C6" i="2"/>
  <c r="C7" i="2"/>
  <c r="C8" i="2"/>
  <c r="C9" i="2"/>
  <c r="C10" i="2"/>
  <c r="C12" i="2"/>
  <c r="C13" i="2"/>
  <c r="C2" i="2"/>
  <c r="B3" i="2"/>
  <c r="B4" i="2"/>
  <c r="B5" i="2"/>
  <c r="B6" i="2"/>
  <c r="B7" i="2"/>
  <c r="B8" i="2"/>
  <c r="B9" i="2"/>
  <c r="B10" i="2"/>
  <c r="B11" i="2"/>
  <c r="B12" i="2"/>
  <c r="B13" i="2"/>
  <c r="B2" i="2"/>
  <c r="H11" i="2" l="1"/>
  <c r="I11" i="2" s="1"/>
  <c r="F11" i="2"/>
</calcChain>
</file>

<file path=xl/sharedStrings.xml><?xml version="1.0" encoding="utf-8"?>
<sst xmlns="http://schemas.openxmlformats.org/spreadsheetml/2006/main" count="66" uniqueCount="33">
  <si>
    <t>campaign_id</t>
  </si>
  <si>
    <t>campaign_name</t>
  </si>
  <si>
    <t>start_date</t>
  </si>
  <si>
    <t>end_date</t>
  </si>
  <si>
    <t>channel</t>
  </si>
  <si>
    <t>investment_usd</t>
  </si>
  <si>
    <t>target_category</t>
  </si>
  <si>
    <t>Fin de Anno Lacteos</t>
  </si>
  <si>
    <t>In-Store</t>
  </si>
  <si>
    <t>Dairy</t>
  </si>
  <si>
    <t>Navidad Tipica</t>
  </si>
  <si>
    <t>Email</t>
  </si>
  <si>
    <t>Traditional Food</t>
  </si>
  <si>
    <t>Black Friday Artesanias</t>
  </si>
  <si>
    <t>Social Media</t>
  </si>
  <si>
    <t>Handicrafts</t>
  </si>
  <si>
    <t>Octubre Bebidas Frias</t>
  </si>
  <si>
    <t>Beverages</t>
  </si>
  <si>
    <t>Independencia SV</t>
  </si>
  <si>
    <t>Back to School</t>
  </si>
  <si>
    <t>Groceries</t>
  </si>
  <si>
    <t>Fiestas Agostinas</t>
  </si>
  <si>
    <t>Promo Lacteos Junio</t>
  </si>
  <si>
    <t>Dia de la Madre</t>
  </si>
  <si>
    <t>Clothing</t>
  </si>
  <si>
    <t>Semana Santa Artesanias</t>
  </si>
  <si>
    <t>San Valentin Bebidas</t>
  </si>
  <si>
    <t>Verano Tipico 2024</t>
  </si>
  <si>
    <t>revenue_generated</t>
  </si>
  <si>
    <t>roi_usd</t>
  </si>
  <si>
    <t>roi_pct %</t>
  </si>
  <si>
    <t>revenue_by_period</t>
  </si>
  <si>
    <t>roi_pct_adjusted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</si>
</sst>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44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19">
    <dxf>
      <numFmt numFmtId="19" formatCode="d/m/yy"/>
    </dxf>
    <dxf>
      <numFmt numFmtId="19" formatCode="d/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4" formatCode="_(&quot;$&quot;* #,##0.00_);_(&quot;$&quot;* \(#,##0.00\);_(&quot;$&quot;* &quot;-&quot;??_);_(@_)"/>
    </dxf>
    <dxf>
      <numFmt numFmtId="30" formatCode="@"/>
    </dxf>
    <dxf>
      <numFmt numFmtId="19" formatCode="d/m/yy"/>
    </dxf>
    <dxf>
      <numFmt numFmtId="19" formatCode="d/m/yy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oseflores/Desktop/Proyectos/sales-analytics-sv/backend/data/excel-analysis/budget_vs_actual.xlsm" TargetMode="External"/><Relationship Id="rId1" Type="http://schemas.openxmlformats.org/officeDocument/2006/relationships/externalLinkPath" Target="budget_vs_actu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ntas"/>
      <sheetName val="Budget_vs_Actual"/>
      <sheetName val="Budget"/>
      <sheetName val="Metadata"/>
      <sheetName val="Analysis"/>
      <sheetName val="Dashboard"/>
    </sheetNames>
    <sheetDataSet>
      <sheetData sheetId="0">
        <row r="1">
          <cell r="B1" t="str">
            <v>date</v>
          </cell>
          <cell r="J1" t="str">
            <v>category</v>
          </cell>
          <cell r="O1" t="str">
            <v>total</v>
          </cell>
        </row>
        <row r="2">
          <cell r="B2">
            <v>45432</v>
          </cell>
          <cell r="J2" t="str">
            <v>Traditional Food</v>
          </cell>
          <cell r="O2">
            <v>20</v>
          </cell>
        </row>
        <row r="3">
          <cell r="B3">
            <v>45594</v>
          </cell>
          <cell r="J3" t="str">
            <v>Groceries</v>
          </cell>
          <cell r="O3">
            <v>28</v>
          </cell>
        </row>
        <row r="4">
          <cell r="B4">
            <v>45579</v>
          </cell>
          <cell r="J4" t="str">
            <v>Beverages</v>
          </cell>
          <cell r="O4">
            <v>4.76</v>
          </cell>
        </row>
        <row r="5">
          <cell r="B5">
            <v>45521</v>
          </cell>
          <cell r="J5" t="str">
            <v>Groceries</v>
          </cell>
          <cell r="O5">
            <v>22.8</v>
          </cell>
        </row>
        <row r="6">
          <cell r="B6">
            <v>45466</v>
          </cell>
          <cell r="J6" t="str">
            <v>Beverages</v>
          </cell>
          <cell r="O6">
            <v>6.75</v>
          </cell>
        </row>
        <row r="7">
          <cell r="B7">
            <v>45339</v>
          </cell>
          <cell r="J7" t="str">
            <v>Handicrafts</v>
          </cell>
          <cell r="O7">
            <v>104</v>
          </cell>
        </row>
        <row r="8">
          <cell r="B8">
            <v>45527</v>
          </cell>
          <cell r="J8" t="str">
            <v>Clothing</v>
          </cell>
          <cell r="O8">
            <v>324</v>
          </cell>
        </row>
        <row r="9">
          <cell r="B9">
            <v>45613</v>
          </cell>
          <cell r="J9" t="str">
            <v>Traditional Food</v>
          </cell>
          <cell r="O9">
            <v>17</v>
          </cell>
        </row>
        <row r="10">
          <cell r="B10">
            <v>45630</v>
          </cell>
          <cell r="J10" t="str">
            <v>Traditional Food</v>
          </cell>
          <cell r="O10">
            <v>6.8</v>
          </cell>
        </row>
        <row r="11">
          <cell r="B11">
            <v>45486</v>
          </cell>
          <cell r="J11" t="str">
            <v>Beverages</v>
          </cell>
          <cell r="O11">
            <v>6.75</v>
          </cell>
        </row>
        <row r="12">
          <cell r="B12">
            <v>45473</v>
          </cell>
          <cell r="J12" t="str">
            <v>Beverages</v>
          </cell>
          <cell r="O12">
            <v>4.76</v>
          </cell>
        </row>
        <row r="13">
          <cell r="B13">
            <v>45565</v>
          </cell>
          <cell r="J13" t="str">
            <v>Traditional Food</v>
          </cell>
          <cell r="O13">
            <v>8</v>
          </cell>
        </row>
        <row r="14">
          <cell r="B14">
            <v>45642</v>
          </cell>
          <cell r="J14" t="str">
            <v>Groceries</v>
          </cell>
          <cell r="O14">
            <v>18.7</v>
          </cell>
        </row>
        <row r="15">
          <cell r="B15">
            <v>45453</v>
          </cell>
          <cell r="J15" t="str">
            <v>Beverages</v>
          </cell>
          <cell r="O15">
            <v>9.75</v>
          </cell>
        </row>
        <row r="16">
          <cell r="B16">
            <v>45627</v>
          </cell>
          <cell r="J16" t="str">
            <v>Handicrafts</v>
          </cell>
          <cell r="O16">
            <v>128</v>
          </cell>
        </row>
        <row r="17">
          <cell r="B17">
            <v>45427</v>
          </cell>
          <cell r="J17" t="str">
            <v>Groceries</v>
          </cell>
          <cell r="O17">
            <v>4.5</v>
          </cell>
        </row>
        <row r="18">
          <cell r="B18">
            <v>45590</v>
          </cell>
          <cell r="J18" t="str">
            <v>Clothing</v>
          </cell>
          <cell r="O18">
            <v>234</v>
          </cell>
        </row>
        <row r="19">
          <cell r="B19">
            <v>45338</v>
          </cell>
          <cell r="J19" t="str">
            <v>Dairy</v>
          </cell>
          <cell r="O19">
            <v>5.96</v>
          </cell>
        </row>
        <row r="20">
          <cell r="B20">
            <v>45597</v>
          </cell>
          <cell r="J20" t="str">
            <v>Beverages</v>
          </cell>
          <cell r="O20">
            <v>2.25</v>
          </cell>
        </row>
        <row r="21">
          <cell r="B21">
            <v>45575</v>
          </cell>
          <cell r="J21" t="str">
            <v>Dairy</v>
          </cell>
          <cell r="O21">
            <v>3.15</v>
          </cell>
        </row>
        <row r="22">
          <cell r="B22">
            <v>45620</v>
          </cell>
          <cell r="J22" t="str">
            <v>Groceries</v>
          </cell>
          <cell r="O22">
            <v>22</v>
          </cell>
        </row>
        <row r="23">
          <cell r="B23">
            <v>45426</v>
          </cell>
          <cell r="J23" t="str">
            <v>Groceries</v>
          </cell>
          <cell r="O23">
            <v>13.09</v>
          </cell>
        </row>
        <row r="24">
          <cell r="B24">
            <v>45619</v>
          </cell>
          <cell r="J24" t="str">
            <v>Traditional Food</v>
          </cell>
          <cell r="O24">
            <v>40.46</v>
          </cell>
        </row>
        <row r="25">
          <cell r="B25">
            <v>45598</v>
          </cell>
          <cell r="J25" t="str">
            <v>Beverages</v>
          </cell>
          <cell r="O25">
            <v>8.25</v>
          </cell>
        </row>
        <row r="26">
          <cell r="B26">
            <v>45414</v>
          </cell>
          <cell r="J26" t="str">
            <v>Handicrafts</v>
          </cell>
          <cell r="O26">
            <v>24</v>
          </cell>
        </row>
        <row r="27">
          <cell r="B27">
            <v>45540</v>
          </cell>
          <cell r="J27" t="str">
            <v>Traditional Food</v>
          </cell>
          <cell r="O27">
            <v>2.5499999999999998</v>
          </cell>
        </row>
        <row r="28">
          <cell r="B28">
            <v>45573</v>
          </cell>
          <cell r="J28" t="str">
            <v>Beverages</v>
          </cell>
          <cell r="O28">
            <v>6</v>
          </cell>
        </row>
        <row r="29">
          <cell r="B29">
            <v>45568</v>
          </cell>
          <cell r="J29" t="str">
            <v>Groceries</v>
          </cell>
          <cell r="O29">
            <v>7.56</v>
          </cell>
        </row>
        <row r="30">
          <cell r="B30">
            <v>45556</v>
          </cell>
          <cell r="J30" t="str">
            <v>Handicrafts</v>
          </cell>
          <cell r="O30">
            <v>180</v>
          </cell>
        </row>
        <row r="31">
          <cell r="B31">
            <v>45593</v>
          </cell>
          <cell r="J31" t="str">
            <v>Handicrafts</v>
          </cell>
          <cell r="O31">
            <v>144</v>
          </cell>
        </row>
        <row r="32">
          <cell r="B32">
            <v>45409</v>
          </cell>
          <cell r="J32" t="str">
            <v>Traditional Food</v>
          </cell>
          <cell r="O32">
            <v>3</v>
          </cell>
        </row>
        <row r="33">
          <cell r="B33">
            <v>45434</v>
          </cell>
          <cell r="J33" t="str">
            <v>Dairy</v>
          </cell>
          <cell r="O33">
            <v>56</v>
          </cell>
        </row>
        <row r="34">
          <cell r="B34">
            <v>45534</v>
          </cell>
          <cell r="J34" t="str">
            <v>Dairy</v>
          </cell>
          <cell r="O34">
            <v>21</v>
          </cell>
        </row>
        <row r="35">
          <cell r="B35">
            <v>45508</v>
          </cell>
          <cell r="J35" t="str">
            <v>Groceries</v>
          </cell>
          <cell r="O35">
            <v>16.8</v>
          </cell>
        </row>
        <row r="36">
          <cell r="B36">
            <v>45498</v>
          </cell>
          <cell r="J36" t="str">
            <v>Traditional Food</v>
          </cell>
          <cell r="O36">
            <v>23.32</v>
          </cell>
        </row>
        <row r="37">
          <cell r="B37">
            <v>45566</v>
          </cell>
          <cell r="J37" t="str">
            <v>Beverages</v>
          </cell>
          <cell r="O37">
            <v>22.5</v>
          </cell>
        </row>
        <row r="38">
          <cell r="B38">
            <v>45330</v>
          </cell>
          <cell r="J38" t="str">
            <v>Groceries</v>
          </cell>
          <cell r="O38">
            <v>11.55</v>
          </cell>
        </row>
        <row r="39">
          <cell r="B39">
            <v>45625</v>
          </cell>
          <cell r="J39" t="str">
            <v>Traditional Food</v>
          </cell>
          <cell r="O39">
            <v>38.159999999999997</v>
          </cell>
        </row>
        <row r="40">
          <cell r="B40">
            <v>45500</v>
          </cell>
          <cell r="J40" t="str">
            <v>Beverages</v>
          </cell>
          <cell r="O40">
            <v>12</v>
          </cell>
        </row>
        <row r="41">
          <cell r="B41">
            <v>45486</v>
          </cell>
          <cell r="J41" t="str">
            <v>Traditional Food</v>
          </cell>
          <cell r="O41">
            <v>0.5</v>
          </cell>
        </row>
        <row r="42">
          <cell r="B42">
            <v>45508</v>
          </cell>
          <cell r="J42" t="str">
            <v>Groceries</v>
          </cell>
          <cell r="O42">
            <v>14.58</v>
          </cell>
        </row>
        <row r="43">
          <cell r="B43">
            <v>45403</v>
          </cell>
          <cell r="J43" t="str">
            <v>Beverages</v>
          </cell>
          <cell r="O43">
            <v>2.84</v>
          </cell>
        </row>
        <row r="44">
          <cell r="B44">
            <v>45317</v>
          </cell>
          <cell r="J44" t="str">
            <v>Handicrafts</v>
          </cell>
          <cell r="O44">
            <v>152</v>
          </cell>
        </row>
        <row r="45">
          <cell r="B45">
            <v>45321</v>
          </cell>
          <cell r="J45" t="str">
            <v>Dairy</v>
          </cell>
          <cell r="O45">
            <v>59.5</v>
          </cell>
        </row>
        <row r="46">
          <cell r="B46">
            <v>45498</v>
          </cell>
          <cell r="J46" t="str">
            <v>Traditional Food</v>
          </cell>
          <cell r="O46">
            <v>3.8</v>
          </cell>
        </row>
        <row r="47">
          <cell r="B47">
            <v>45506</v>
          </cell>
          <cell r="J47" t="str">
            <v>Traditional Food</v>
          </cell>
          <cell r="O47">
            <v>8.93</v>
          </cell>
        </row>
        <row r="48">
          <cell r="B48">
            <v>45634</v>
          </cell>
          <cell r="J48" t="str">
            <v>Clothing</v>
          </cell>
          <cell r="O48">
            <v>198</v>
          </cell>
        </row>
        <row r="49">
          <cell r="B49">
            <v>45453</v>
          </cell>
          <cell r="J49" t="str">
            <v>Handicrafts</v>
          </cell>
          <cell r="O49">
            <v>105</v>
          </cell>
        </row>
        <row r="50">
          <cell r="B50">
            <v>45567</v>
          </cell>
          <cell r="J50" t="str">
            <v>Traditional Food</v>
          </cell>
          <cell r="O50">
            <v>16.66</v>
          </cell>
        </row>
        <row r="51">
          <cell r="B51">
            <v>45417</v>
          </cell>
          <cell r="J51" t="str">
            <v>Handicrafts</v>
          </cell>
          <cell r="O51">
            <v>144</v>
          </cell>
        </row>
        <row r="52">
          <cell r="B52">
            <v>45605</v>
          </cell>
          <cell r="J52" t="str">
            <v>Groceries</v>
          </cell>
          <cell r="O52">
            <v>34</v>
          </cell>
        </row>
        <row r="53">
          <cell r="B53">
            <v>45360</v>
          </cell>
          <cell r="J53" t="str">
            <v>Handicrafts</v>
          </cell>
          <cell r="O53">
            <v>315</v>
          </cell>
        </row>
        <row r="54">
          <cell r="B54">
            <v>45431</v>
          </cell>
          <cell r="J54" t="str">
            <v>Groceries</v>
          </cell>
          <cell r="O54">
            <v>19</v>
          </cell>
        </row>
        <row r="55">
          <cell r="B55">
            <v>45550</v>
          </cell>
          <cell r="J55" t="str">
            <v>Beverages</v>
          </cell>
          <cell r="O55">
            <v>24</v>
          </cell>
        </row>
        <row r="56">
          <cell r="B56">
            <v>45616</v>
          </cell>
          <cell r="J56" t="str">
            <v>Traditional Food</v>
          </cell>
          <cell r="O56">
            <v>5.88</v>
          </cell>
        </row>
        <row r="57">
          <cell r="B57">
            <v>45618</v>
          </cell>
          <cell r="J57" t="str">
            <v>Handicrafts</v>
          </cell>
          <cell r="O57">
            <v>72</v>
          </cell>
        </row>
        <row r="58">
          <cell r="B58">
            <v>45349</v>
          </cell>
          <cell r="J58" t="str">
            <v>Groceries</v>
          </cell>
          <cell r="O58">
            <v>3.24</v>
          </cell>
        </row>
        <row r="59">
          <cell r="B59">
            <v>45590</v>
          </cell>
          <cell r="J59" t="str">
            <v>Traditional Food</v>
          </cell>
          <cell r="O59">
            <v>9</v>
          </cell>
        </row>
        <row r="60">
          <cell r="B60">
            <v>45312</v>
          </cell>
          <cell r="J60" t="str">
            <v>Handicrafts</v>
          </cell>
          <cell r="O60">
            <v>420</v>
          </cell>
        </row>
        <row r="61">
          <cell r="B61">
            <v>45578</v>
          </cell>
          <cell r="J61" t="str">
            <v>Traditional Food</v>
          </cell>
          <cell r="O61">
            <v>33.32</v>
          </cell>
        </row>
        <row r="62">
          <cell r="B62">
            <v>45382</v>
          </cell>
          <cell r="J62" t="str">
            <v>Beverages</v>
          </cell>
          <cell r="O62">
            <v>10.5</v>
          </cell>
        </row>
        <row r="63">
          <cell r="B63">
            <v>45634</v>
          </cell>
          <cell r="J63" t="str">
            <v>Handicrafts</v>
          </cell>
          <cell r="O63">
            <v>64</v>
          </cell>
        </row>
        <row r="64">
          <cell r="B64">
            <v>45311</v>
          </cell>
          <cell r="J64" t="str">
            <v>Traditional Food</v>
          </cell>
          <cell r="O64">
            <v>40</v>
          </cell>
        </row>
        <row r="65">
          <cell r="B65">
            <v>45448</v>
          </cell>
          <cell r="J65" t="str">
            <v>Groceries</v>
          </cell>
          <cell r="O65">
            <v>7.2</v>
          </cell>
        </row>
        <row r="66">
          <cell r="B66">
            <v>45434</v>
          </cell>
          <cell r="J66" t="str">
            <v>Groceries</v>
          </cell>
          <cell r="O66">
            <v>7.14</v>
          </cell>
        </row>
        <row r="67">
          <cell r="B67">
            <v>45639</v>
          </cell>
          <cell r="J67" t="str">
            <v>Dairy</v>
          </cell>
          <cell r="O67">
            <v>63</v>
          </cell>
        </row>
        <row r="68">
          <cell r="B68">
            <v>45589</v>
          </cell>
          <cell r="J68" t="str">
            <v>Clothing</v>
          </cell>
          <cell r="O68">
            <v>162</v>
          </cell>
        </row>
        <row r="69">
          <cell r="B69">
            <v>45515</v>
          </cell>
          <cell r="J69" t="str">
            <v>Handicrafts</v>
          </cell>
          <cell r="O69">
            <v>228</v>
          </cell>
        </row>
        <row r="70">
          <cell r="B70">
            <v>45314</v>
          </cell>
          <cell r="J70" t="str">
            <v>Beverages</v>
          </cell>
          <cell r="O70">
            <v>21</v>
          </cell>
        </row>
        <row r="71">
          <cell r="B71">
            <v>45478</v>
          </cell>
          <cell r="J71" t="str">
            <v>Groceries</v>
          </cell>
          <cell r="O71">
            <v>28</v>
          </cell>
        </row>
        <row r="72">
          <cell r="B72">
            <v>45631</v>
          </cell>
          <cell r="J72" t="str">
            <v>Handicrafts</v>
          </cell>
          <cell r="O72">
            <v>28.8</v>
          </cell>
        </row>
        <row r="73">
          <cell r="B73">
            <v>45459</v>
          </cell>
          <cell r="J73" t="str">
            <v>Handicrafts</v>
          </cell>
          <cell r="O73">
            <v>409.5</v>
          </cell>
        </row>
        <row r="74">
          <cell r="B74">
            <v>45632</v>
          </cell>
          <cell r="J74" t="str">
            <v>Beverages</v>
          </cell>
          <cell r="O74">
            <v>17.55</v>
          </cell>
        </row>
        <row r="75">
          <cell r="B75">
            <v>45572</v>
          </cell>
          <cell r="J75" t="str">
            <v>Handicrafts</v>
          </cell>
          <cell r="O75">
            <v>35</v>
          </cell>
        </row>
        <row r="76">
          <cell r="B76">
            <v>45518</v>
          </cell>
          <cell r="J76" t="str">
            <v>Handicrafts</v>
          </cell>
          <cell r="O76">
            <v>108</v>
          </cell>
        </row>
        <row r="77">
          <cell r="B77">
            <v>45437</v>
          </cell>
          <cell r="J77" t="str">
            <v>Beverages</v>
          </cell>
          <cell r="O77">
            <v>11.56</v>
          </cell>
        </row>
        <row r="78">
          <cell r="B78">
            <v>45636</v>
          </cell>
          <cell r="J78" t="str">
            <v>Traditional Food</v>
          </cell>
          <cell r="O78">
            <v>10</v>
          </cell>
        </row>
        <row r="79">
          <cell r="B79">
            <v>45417</v>
          </cell>
          <cell r="J79" t="str">
            <v>Traditional Food</v>
          </cell>
          <cell r="O79">
            <v>7.52</v>
          </cell>
        </row>
        <row r="80">
          <cell r="B80">
            <v>45614</v>
          </cell>
          <cell r="J80" t="str">
            <v>Groceries</v>
          </cell>
          <cell r="O80">
            <v>17.100000000000001</v>
          </cell>
        </row>
        <row r="81">
          <cell r="B81">
            <v>45416</v>
          </cell>
          <cell r="J81" t="str">
            <v>Dairy</v>
          </cell>
          <cell r="O81">
            <v>6.75</v>
          </cell>
        </row>
        <row r="82">
          <cell r="B82">
            <v>45404</v>
          </cell>
          <cell r="J82" t="str">
            <v>Traditional Food</v>
          </cell>
          <cell r="O82">
            <v>12.72</v>
          </cell>
        </row>
        <row r="83">
          <cell r="B83">
            <v>45577</v>
          </cell>
          <cell r="J83" t="str">
            <v>Groceries</v>
          </cell>
          <cell r="O83">
            <v>6.16</v>
          </cell>
        </row>
        <row r="84">
          <cell r="B84">
            <v>45518</v>
          </cell>
          <cell r="J84" t="str">
            <v>Groceries</v>
          </cell>
          <cell r="O84">
            <v>15.4</v>
          </cell>
        </row>
        <row r="85">
          <cell r="B85">
            <v>45373</v>
          </cell>
          <cell r="J85" t="str">
            <v>Groceries</v>
          </cell>
          <cell r="O85">
            <v>19.2</v>
          </cell>
        </row>
        <row r="86">
          <cell r="B86">
            <v>45612</v>
          </cell>
          <cell r="J86" t="str">
            <v>Clothing</v>
          </cell>
          <cell r="O86">
            <v>144</v>
          </cell>
        </row>
        <row r="87">
          <cell r="B87">
            <v>45431</v>
          </cell>
          <cell r="J87" t="str">
            <v>Handicrafts</v>
          </cell>
          <cell r="O87">
            <v>385</v>
          </cell>
        </row>
        <row r="88">
          <cell r="B88">
            <v>45410</v>
          </cell>
          <cell r="J88" t="str">
            <v>Beverages</v>
          </cell>
          <cell r="O88">
            <v>11.7</v>
          </cell>
        </row>
        <row r="89">
          <cell r="B89">
            <v>45500</v>
          </cell>
          <cell r="J89" t="str">
            <v>Traditional Food</v>
          </cell>
          <cell r="O89">
            <v>10.45</v>
          </cell>
        </row>
        <row r="90">
          <cell r="B90">
            <v>45491</v>
          </cell>
          <cell r="J90" t="str">
            <v>Beverages</v>
          </cell>
          <cell r="O90">
            <v>25.65</v>
          </cell>
        </row>
        <row r="91">
          <cell r="B91">
            <v>45295</v>
          </cell>
          <cell r="J91" t="str">
            <v>Groceries</v>
          </cell>
          <cell r="O91">
            <v>33.6</v>
          </cell>
        </row>
        <row r="92">
          <cell r="B92">
            <v>45541</v>
          </cell>
          <cell r="J92" t="str">
            <v>Groceries</v>
          </cell>
          <cell r="O92">
            <v>9.6</v>
          </cell>
        </row>
        <row r="93">
          <cell r="B93">
            <v>45634</v>
          </cell>
          <cell r="J93" t="str">
            <v>Groceries</v>
          </cell>
          <cell r="O93">
            <v>32.76</v>
          </cell>
        </row>
        <row r="94">
          <cell r="B94">
            <v>45493</v>
          </cell>
          <cell r="J94" t="str">
            <v>Beverages</v>
          </cell>
          <cell r="O94">
            <v>18.05</v>
          </cell>
        </row>
        <row r="95">
          <cell r="B95">
            <v>45528</v>
          </cell>
          <cell r="J95" t="str">
            <v>Groceries</v>
          </cell>
          <cell r="O95">
            <v>7.2</v>
          </cell>
        </row>
        <row r="96">
          <cell r="B96">
            <v>45459</v>
          </cell>
          <cell r="J96" t="str">
            <v>Beverages</v>
          </cell>
          <cell r="O96">
            <v>13.97</v>
          </cell>
        </row>
        <row r="97">
          <cell r="B97">
            <v>45333</v>
          </cell>
          <cell r="J97" t="str">
            <v>Groceries</v>
          </cell>
          <cell r="O97">
            <v>19.2</v>
          </cell>
        </row>
        <row r="98">
          <cell r="B98">
            <v>45624</v>
          </cell>
          <cell r="J98" t="str">
            <v>Handicrafts</v>
          </cell>
          <cell r="O98">
            <v>30.6</v>
          </cell>
        </row>
        <row r="99">
          <cell r="B99">
            <v>45394</v>
          </cell>
          <cell r="J99" t="str">
            <v>Traditional Food</v>
          </cell>
          <cell r="O99">
            <v>0.47</v>
          </cell>
        </row>
        <row r="100">
          <cell r="B100">
            <v>45580</v>
          </cell>
          <cell r="J100" t="str">
            <v>Dairy</v>
          </cell>
          <cell r="O100">
            <v>10.5</v>
          </cell>
        </row>
        <row r="101">
          <cell r="B101">
            <v>45602</v>
          </cell>
          <cell r="J101" t="str">
            <v>Handicrafts</v>
          </cell>
          <cell r="O101">
            <v>216</v>
          </cell>
        </row>
        <row r="102">
          <cell r="B102">
            <v>45347</v>
          </cell>
          <cell r="J102" t="str">
            <v>Beverages</v>
          </cell>
          <cell r="O102">
            <v>14.25</v>
          </cell>
        </row>
        <row r="103">
          <cell r="B103">
            <v>45393</v>
          </cell>
          <cell r="J103" t="str">
            <v>Groceries</v>
          </cell>
          <cell r="O103">
            <v>7.98</v>
          </cell>
        </row>
        <row r="104">
          <cell r="B104">
            <v>45648</v>
          </cell>
          <cell r="J104" t="str">
            <v>Beverages</v>
          </cell>
          <cell r="O104">
            <v>6.4</v>
          </cell>
        </row>
        <row r="105">
          <cell r="B105">
            <v>45469</v>
          </cell>
          <cell r="J105" t="str">
            <v>Traditional Food</v>
          </cell>
          <cell r="O105">
            <v>45</v>
          </cell>
        </row>
        <row r="106">
          <cell r="B106">
            <v>45298</v>
          </cell>
          <cell r="J106" t="str">
            <v>Dairy</v>
          </cell>
          <cell r="O106">
            <v>41.72</v>
          </cell>
        </row>
        <row r="107">
          <cell r="B107">
            <v>45654</v>
          </cell>
          <cell r="J107" t="str">
            <v>Handicrafts</v>
          </cell>
          <cell r="O107">
            <v>60</v>
          </cell>
        </row>
        <row r="108">
          <cell r="B108">
            <v>45530</v>
          </cell>
          <cell r="J108" t="str">
            <v>Clothing</v>
          </cell>
          <cell r="O108">
            <v>214.2</v>
          </cell>
        </row>
        <row r="109">
          <cell r="B109">
            <v>45336</v>
          </cell>
          <cell r="J109" t="str">
            <v>Handicrafts</v>
          </cell>
          <cell r="O109">
            <v>72</v>
          </cell>
        </row>
        <row r="110">
          <cell r="B110">
            <v>45306</v>
          </cell>
          <cell r="J110" t="str">
            <v>Groceries</v>
          </cell>
          <cell r="O110">
            <v>38.08</v>
          </cell>
        </row>
        <row r="111">
          <cell r="B111">
            <v>45424</v>
          </cell>
          <cell r="J111" t="str">
            <v>Beverages</v>
          </cell>
          <cell r="O111">
            <v>16.5</v>
          </cell>
        </row>
        <row r="112">
          <cell r="B112">
            <v>45556</v>
          </cell>
          <cell r="J112" t="str">
            <v>Clothing</v>
          </cell>
          <cell r="O112">
            <v>126</v>
          </cell>
        </row>
        <row r="113">
          <cell r="B113">
            <v>45645</v>
          </cell>
          <cell r="J113" t="str">
            <v>Dairy</v>
          </cell>
          <cell r="O113">
            <v>21.6</v>
          </cell>
        </row>
        <row r="114">
          <cell r="B114">
            <v>45442</v>
          </cell>
          <cell r="J114" t="str">
            <v>Traditional Food</v>
          </cell>
          <cell r="O114">
            <v>4</v>
          </cell>
        </row>
        <row r="115">
          <cell r="B115">
            <v>45575</v>
          </cell>
          <cell r="J115" t="str">
            <v>Handicrafts</v>
          </cell>
          <cell r="O115">
            <v>204</v>
          </cell>
        </row>
        <row r="116">
          <cell r="B116">
            <v>45472</v>
          </cell>
          <cell r="J116" t="str">
            <v>Groceries</v>
          </cell>
          <cell r="O116">
            <v>30</v>
          </cell>
        </row>
        <row r="117">
          <cell r="B117">
            <v>45453</v>
          </cell>
          <cell r="J117" t="str">
            <v>Traditional Food</v>
          </cell>
          <cell r="O117">
            <v>9</v>
          </cell>
        </row>
        <row r="118">
          <cell r="B118">
            <v>45402</v>
          </cell>
          <cell r="J118" t="str">
            <v>Beverages</v>
          </cell>
          <cell r="O118">
            <v>12</v>
          </cell>
        </row>
        <row r="119">
          <cell r="B119">
            <v>45343</v>
          </cell>
          <cell r="J119" t="str">
            <v>Dairy</v>
          </cell>
          <cell r="O119">
            <v>24.5</v>
          </cell>
        </row>
        <row r="120">
          <cell r="B120">
            <v>45654</v>
          </cell>
          <cell r="J120" t="str">
            <v>Handicrafts</v>
          </cell>
          <cell r="O120">
            <v>630</v>
          </cell>
        </row>
        <row r="121">
          <cell r="B121">
            <v>45649</v>
          </cell>
          <cell r="J121" t="str">
            <v>Traditional Food</v>
          </cell>
          <cell r="O121">
            <v>2.25</v>
          </cell>
        </row>
        <row r="122">
          <cell r="B122">
            <v>45585</v>
          </cell>
          <cell r="J122" t="str">
            <v>Traditional Food</v>
          </cell>
          <cell r="O122">
            <v>25</v>
          </cell>
        </row>
        <row r="123">
          <cell r="B123">
            <v>45421</v>
          </cell>
          <cell r="J123" t="str">
            <v>Beverages</v>
          </cell>
          <cell r="O123">
            <v>12</v>
          </cell>
        </row>
        <row r="124">
          <cell r="B124">
            <v>45587</v>
          </cell>
          <cell r="J124" t="str">
            <v>Dairy</v>
          </cell>
          <cell r="O124">
            <v>3</v>
          </cell>
        </row>
        <row r="125">
          <cell r="B125">
            <v>45419</v>
          </cell>
          <cell r="J125" t="str">
            <v>Handicrafts</v>
          </cell>
          <cell r="O125">
            <v>133</v>
          </cell>
        </row>
        <row r="126">
          <cell r="B126">
            <v>45522</v>
          </cell>
          <cell r="J126" t="str">
            <v>Beverages</v>
          </cell>
          <cell r="O126">
            <v>11.25</v>
          </cell>
        </row>
        <row r="127">
          <cell r="B127">
            <v>45604</v>
          </cell>
          <cell r="J127" t="str">
            <v>Handicrafts</v>
          </cell>
          <cell r="O127">
            <v>119</v>
          </cell>
        </row>
        <row r="128">
          <cell r="B128">
            <v>45372</v>
          </cell>
          <cell r="J128" t="str">
            <v>Clothing</v>
          </cell>
          <cell r="O128">
            <v>144</v>
          </cell>
        </row>
        <row r="129">
          <cell r="B129">
            <v>45522</v>
          </cell>
          <cell r="J129" t="str">
            <v>Traditional Food</v>
          </cell>
          <cell r="O129">
            <v>10</v>
          </cell>
        </row>
        <row r="130">
          <cell r="B130">
            <v>45651</v>
          </cell>
          <cell r="J130" t="str">
            <v>Handicrafts</v>
          </cell>
          <cell r="O130">
            <v>525</v>
          </cell>
        </row>
        <row r="131">
          <cell r="B131">
            <v>45509</v>
          </cell>
          <cell r="J131" t="str">
            <v>Clothing</v>
          </cell>
          <cell r="O131">
            <v>68.400000000000006</v>
          </cell>
        </row>
        <row r="132">
          <cell r="B132">
            <v>45328</v>
          </cell>
          <cell r="J132" t="str">
            <v>Clothing</v>
          </cell>
          <cell r="O132">
            <v>36</v>
          </cell>
        </row>
        <row r="133">
          <cell r="B133">
            <v>45355</v>
          </cell>
          <cell r="J133" t="str">
            <v>Handicrafts</v>
          </cell>
          <cell r="O133">
            <v>472.5</v>
          </cell>
        </row>
        <row r="134">
          <cell r="B134">
            <v>45516</v>
          </cell>
          <cell r="J134" t="str">
            <v>Clothing</v>
          </cell>
          <cell r="O134">
            <v>51.3</v>
          </cell>
        </row>
        <row r="135">
          <cell r="B135">
            <v>45305</v>
          </cell>
          <cell r="J135" t="str">
            <v>Handicrafts</v>
          </cell>
          <cell r="O135">
            <v>24</v>
          </cell>
        </row>
        <row r="136">
          <cell r="B136">
            <v>45587</v>
          </cell>
          <cell r="J136" t="str">
            <v>Traditional Food</v>
          </cell>
          <cell r="O136">
            <v>0.84</v>
          </cell>
        </row>
        <row r="137">
          <cell r="B137">
            <v>45434</v>
          </cell>
          <cell r="J137" t="str">
            <v>Dairy</v>
          </cell>
          <cell r="O137">
            <v>19.920000000000002</v>
          </cell>
        </row>
        <row r="138">
          <cell r="B138">
            <v>45532</v>
          </cell>
          <cell r="J138" t="str">
            <v>Dairy</v>
          </cell>
          <cell r="O138">
            <v>18</v>
          </cell>
        </row>
        <row r="139">
          <cell r="B139">
            <v>45460</v>
          </cell>
          <cell r="J139" t="str">
            <v>Traditional Food</v>
          </cell>
          <cell r="O139">
            <v>31.5</v>
          </cell>
        </row>
        <row r="140">
          <cell r="B140">
            <v>45524</v>
          </cell>
          <cell r="J140" t="str">
            <v>Groceries</v>
          </cell>
          <cell r="O140">
            <v>8.4</v>
          </cell>
        </row>
        <row r="141">
          <cell r="B141">
            <v>45628</v>
          </cell>
          <cell r="J141" t="str">
            <v>Groceries</v>
          </cell>
          <cell r="O141">
            <v>50.4</v>
          </cell>
        </row>
        <row r="142">
          <cell r="B142">
            <v>45610</v>
          </cell>
          <cell r="J142" t="str">
            <v>Dairy</v>
          </cell>
          <cell r="O142">
            <v>50.4</v>
          </cell>
        </row>
        <row r="143">
          <cell r="B143">
            <v>45573</v>
          </cell>
          <cell r="J143" t="str">
            <v>Beverages</v>
          </cell>
          <cell r="O143">
            <v>7.5</v>
          </cell>
        </row>
        <row r="144">
          <cell r="B144">
            <v>45306</v>
          </cell>
          <cell r="J144" t="str">
            <v>Dairy</v>
          </cell>
          <cell r="O144">
            <v>25.4</v>
          </cell>
        </row>
        <row r="145">
          <cell r="B145">
            <v>45574</v>
          </cell>
          <cell r="J145" t="str">
            <v>Handicrafts</v>
          </cell>
          <cell r="O145">
            <v>490</v>
          </cell>
        </row>
        <row r="146">
          <cell r="B146">
            <v>45352</v>
          </cell>
          <cell r="J146" t="str">
            <v>Traditional Food</v>
          </cell>
          <cell r="O146">
            <v>12.5</v>
          </cell>
        </row>
        <row r="147">
          <cell r="B147">
            <v>45504</v>
          </cell>
          <cell r="J147" t="str">
            <v>Dairy</v>
          </cell>
          <cell r="O147">
            <v>56</v>
          </cell>
        </row>
        <row r="148">
          <cell r="B148">
            <v>45389</v>
          </cell>
          <cell r="J148" t="str">
            <v>Beverages</v>
          </cell>
          <cell r="O148">
            <v>19</v>
          </cell>
        </row>
        <row r="149">
          <cell r="B149">
            <v>45504</v>
          </cell>
          <cell r="J149" t="str">
            <v>Traditional Food</v>
          </cell>
          <cell r="O149">
            <v>9.35</v>
          </cell>
        </row>
        <row r="150">
          <cell r="B150">
            <v>45444</v>
          </cell>
          <cell r="J150" t="str">
            <v>Traditional Food</v>
          </cell>
          <cell r="O150">
            <v>8.93</v>
          </cell>
        </row>
        <row r="151">
          <cell r="B151">
            <v>45567</v>
          </cell>
          <cell r="J151" t="str">
            <v>Beverages</v>
          </cell>
          <cell r="O151">
            <v>16</v>
          </cell>
        </row>
        <row r="152">
          <cell r="B152">
            <v>45525</v>
          </cell>
          <cell r="J152" t="str">
            <v>Groceries</v>
          </cell>
          <cell r="O152">
            <v>18.7</v>
          </cell>
        </row>
        <row r="153">
          <cell r="B153">
            <v>45411</v>
          </cell>
          <cell r="J153" t="str">
            <v>Beverages</v>
          </cell>
          <cell r="O153">
            <v>10.5</v>
          </cell>
        </row>
        <row r="154">
          <cell r="B154">
            <v>45631</v>
          </cell>
          <cell r="J154" t="str">
            <v>Groceries</v>
          </cell>
          <cell r="O154">
            <v>14</v>
          </cell>
        </row>
        <row r="155">
          <cell r="B155">
            <v>45343</v>
          </cell>
          <cell r="J155" t="str">
            <v>Dairy</v>
          </cell>
          <cell r="O155">
            <v>52.5</v>
          </cell>
        </row>
        <row r="156">
          <cell r="B156">
            <v>45501</v>
          </cell>
          <cell r="J156" t="str">
            <v>Traditional Food</v>
          </cell>
          <cell r="O156">
            <v>2.5</v>
          </cell>
        </row>
        <row r="157">
          <cell r="B157">
            <v>45611</v>
          </cell>
          <cell r="J157" t="str">
            <v>Clothing</v>
          </cell>
          <cell r="O157">
            <v>210.6</v>
          </cell>
        </row>
        <row r="158">
          <cell r="B158">
            <v>45454</v>
          </cell>
          <cell r="J158" t="str">
            <v>Groceries</v>
          </cell>
          <cell r="O158">
            <v>27.2</v>
          </cell>
        </row>
        <row r="159">
          <cell r="B159">
            <v>45615</v>
          </cell>
          <cell r="J159" t="str">
            <v>Traditional Food</v>
          </cell>
          <cell r="O159">
            <v>10</v>
          </cell>
        </row>
        <row r="160">
          <cell r="B160">
            <v>45519</v>
          </cell>
          <cell r="J160" t="str">
            <v>Traditional Food</v>
          </cell>
          <cell r="O160">
            <v>13.5</v>
          </cell>
        </row>
        <row r="161">
          <cell r="B161">
            <v>45320</v>
          </cell>
          <cell r="J161" t="str">
            <v>Traditional Food</v>
          </cell>
          <cell r="O161">
            <v>5</v>
          </cell>
        </row>
        <row r="162">
          <cell r="B162">
            <v>45581</v>
          </cell>
          <cell r="J162" t="str">
            <v>Beverages</v>
          </cell>
          <cell r="O162">
            <v>4.5</v>
          </cell>
        </row>
        <row r="163">
          <cell r="B163">
            <v>45546</v>
          </cell>
          <cell r="J163" t="str">
            <v>Groceries</v>
          </cell>
          <cell r="O163">
            <v>53.2</v>
          </cell>
        </row>
        <row r="164">
          <cell r="B164">
            <v>45422</v>
          </cell>
          <cell r="J164" t="str">
            <v>Clothing</v>
          </cell>
          <cell r="O164">
            <v>15.3</v>
          </cell>
        </row>
        <row r="165">
          <cell r="B165">
            <v>45329</v>
          </cell>
          <cell r="J165" t="str">
            <v>Groceries</v>
          </cell>
          <cell r="O165">
            <v>30</v>
          </cell>
        </row>
        <row r="166">
          <cell r="B166">
            <v>45525</v>
          </cell>
          <cell r="J166" t="str">
            <v>Groceries</v>
          </cell>
          <cell r="O166">
            <v>12</v>
          </cell>
        </row>
        <row r="167">
          <cell r="B167">
            <v>45413</v>
          </cell>
          <cell r="J167" t="str">
            <v>Dairy</v>
          </cell>
          <cell r="O167">
            <v>18.46</v>
          </cell>
        </row>
        <row r="168">
          <cell r="B168">
            <v>45629</v>
          </cell>
          <cell r="J168" t="str">
            <v>Handicrafts</v>
          </cell>
          <cell r="O168">
            <v>455</v>
          </cell>
        </row>
        <row r="169">
          <cell r="B169">
            <v>45438</v>
          </cell>
          <cell r="J169" t="str">
            <v>Traditional Food</v>
          </cell>
          <cell r="O169">
            <v>3.76</v>
          </cell>
        </row>
        <row r="170">
          <cell r="B170">
            <v>45639</v>
          </cell>
          <cell r="J170" t="str">
            <v>Beverages</v>
          </cell>
          <cell r="O170">
            <v>6.75</v>
          </cell>
        </row>
        <row r="171">
          <cell r="B171">
            <v>45517</v>
          </cell>
          <cell r="J171" t="str">
            <v>Traditional Food</v>
          </cell>
          <cell r="O171">
            <v>0.94</v>
          </cell>
        </row>
        <row r="172">
          <cell r="B172">
            <v>45459</v>
          </cell>
          <cell r="J172" t="str">
            <v>Traditional Food</v>
          </cell>
          <cell r="O172">
            <v>14</v>
          </cell>
        </row>
        <row r="173">
          <cell r="B173">
            <v>45563</v>
          </cell>
          <cell r="J173" t="str">
            <v>Groceries</v>
          </cell>
          <cell r="O173">
            <v>34</v>
          </cell>
        </row>
        <row r="174">
          <cell r="B174">
            <v>45465</v>
          </cell>
          <cell r="J174" t="str">
            <v>Dairy</v>
          </cell>
          <cell r="O174">
            <v>6</v>
          </cell>
        </row>
        <row r="175">
          <cell r="B175">
            <v>45577</v>
          </cell>
          <cell r="J175" t="str">
            <v>Beverages</v>
          </cell>
          <cell r="O175">
            <v>9</v>
          </cell>
        </row>
        <row r="176">
          <cell r="B176">
            <v>45524</v>
          </cell>
          <cell r="J176" t="str">
            <v>Clothing</v>
          </cell>
          <cell r="O176">
            <v>194.4</v>
          </cell>
        </row>
        <row r="177">
          <cell r="B177">
            <v>45347</v>
          </cell>
          <cell r="J177" t="str">
            <v>Groceries</v>
          </cell>
          <cell r="O177">
            <v>22.4</v>
          </cell>
        </row>
        <row r="178">
          <cell r="B178">
            <v>45604</v>
          </cell>
          <cell r="J178" t="str">
            <v>Groceries</v>
          </cell>
          <cell r="O178">
            <v>14.4</v>
          </cell>
        </row>
        <row r="179">
          <cell r="B179">
            <v>45624</v>
          </cell>
          <cell r="J179" t="str">
            <v>Groceries</v>
          </cell>
          <cell r="O179">
            <v>12.6</v>
          </cell>
        </row>
        <row r="180">
          <cell r="B180">
            <v>45544</v>
          </cell>
          <cell r="J180" t="str">
            <v>Traditional Food</v>
          </cell>
          <cell r="O180">
            <v>2</v>
          </cell>
        </row>
        <row r="181">
          <cell r="B181">
            <v>45524</v>
          </cell>
          <cell r="J181" t="str">
            <v>Beverages</v>
          </cell>
          <cell r="O181">
            <v>10.8</v>
          </cell>
        </row>
        <row r="182">
          <cell r="B182">
            <v>45592</v>
          </cell>
          <cell r="J182" t="str">
            <v>Groceries</v>
          </cell>
          <cell r="O182">
            <v>10</v>
          </cell>
        </row>
        <row r="183">
          <cell r="B183">
            <v>45435</v>
          </cell>
          <cell r="J183" t="str">
            <v>Dairy</v>
          </cell>
          <cell r="O183">
            <v>2.7</v>
          </cell>
        </row>
        <row r="184">
          <cell r="B184">
            <v>45477</v>
          </cell>
          <cell r="J184" t="str">
            <v>Groceries</v>
          </cell>
          <cell r="O184">
            <v>3.24</v>
          </cell>
        </row>
        <row r="185">
          <cell r="B185">
            <v>45495</v>
          </cell>
          <cell r="J185" t="str">
            <v>Handicrafts</v>
          </cell>
          <cell r="O185">
            <v>108</v>
          </cell>
        </row>
        <row r="186">
          <cell r="B186">
            <v>45631</v>
          </cell>
          <cell r="J186" t="str">
            <v>Groceries</v>
          </cell>
          <cell r="O186">
            <v>5.67</v>
          </cell>
        </row>
        <row r="187">
          <cell r="B187">
            <v>45462</v>
          </cell>
          <cell r="J187" t="str">
            <v>Traditional Food</v>
          </cell>
          <cell r="O187">
            <v>4</v>
          </cell>
        </row>
        <row r="188">
          <cell r="B188">
            <v>45592</v>
          </cell>
          <cell r="J188" t="str">
            <v>Traditional Food</v>
          </cell>
          <cell r="O188">
            <v>5.95</v>
          </cell>
        </row>
        <row r="189">
          <cell r="B189">
            <v>45433</v>
          </cell>
          <cell r="J189" t="str">
            <v>Beverages</v>
          </cell>
          <cell r="O189">
            <v>5</v>
          </cell>
        </row>
        <row r="190">
          <cell r="B190">
            <v>45630</v>
          </cell>
          <cell r="J190" t="str">
            <v>Beverages</v>
          </cell>
          <cell r="O190">
            <v>0.75</v>
          </cell>
        </row>
        <row r="191">
          <cell r="B191">
            <v>45300</v>
          </cell>
          <cell r="J191" t="str">
            <v>Beverages</v>
          </cell>
          <cell r="O191">
            <v>4.5</v>
          </cell>
        </row>
        <row r="192">
          <cell r="B192">
            <v>45324</v>
          </cell>
          <cell r="J192" t="str">
            <v>Groceries</v>
          </cell>
          <cell r="O192">
            <v>19.2</v>
          </cell>
        </row>
        <row r="193">
          <cell r="B193">
            <v>45549</v>
          </cell>
          <cell r="J193" t="str">
            <v>Traditional Food</v>
          </cell>
          <cell r="O193">
            <v>19.04</v>
          </cell>
        </row>
        <row r="194">
          <cell r="B194">
            <v>45526</v>
          </cell>
          <cell r="J194" t="str">
            <v>Dairy</v>
          </cell>
          <cell r="O194">
            <v>3.5</v>
          </cell>
        </row>
        <row r="195">
          <cell r="B195">
            <v>45643</v>
          </cell>
          <cell r="J195" t="str">
            <v>Groceries</v>
          </cell>
          <cell r="O195">
            <v>11.2</v>
          </cell>
        </row>
        <row r="196">
          <cell r="B196">
            <v>45456</v>
          </cell>
          <cell r="J196" t="str">
            <v>Traditional Food</v>
          </cell>
          <cell r="O196">
            <v>20</v>
          </cell>
        </row>
        <row r="197">
          <cell r="B197">
            <v>45487</v>
          </cell>
          <cell r="J197" t="str">
            <v>Groceries</v>
          </cell>
          <cell r="O197">
            <v>38</v>
          </cell>
        </row>
        <row r="198">
          <cell r="B198">
            <v>45651</v>
          </cell>
          <cell r="J198" t="str">
            <v>Groceries</v>
          </cell>
          <cell r="O198">
            <v>4.08</v>
          </cell>
        </row>
        <row r="199">
          <cell r="B199">
            <v>45512</v>
          </cell>
          <cell r="J199" t="str">
            <v>Groceries</v>
          </cell>
          <cell r="O199">
            <v>30</v>
          </cell>
        </row>
        <row r="200">
          <cell r="B200">
            <v>45504</v>
          </cell>
          <cell r="J200" t="str">
            <v>Groceries</v>
          </cell>
          <cell r="O200">
            <v>3.6</v>
          </cell>
        </row>
        <row r="201">
          <cell r="B201">
            <v>45370</v>
          </cell>
          <cell r="J201" t="str">
            <v>Clothing</v>
          </cell>
          <cell r="O201">
            <v>288</v>
          </cell>
        </row>
        <row r="202">
          <cell r="B202">
            <v>45341</v>
          </cell>
          <cell r="J202" t="str">
            <v>Traditional Food</v>
          </cell>
          <cell r="O202">
            <v>10.199999999999999</v>
          </cell>
        </row>
        <row r="203">
          <cell r="B203">
            <v>45635</v>
          </cell>
          <cell r="J203" t="str">
            <v>Groceries</v>
          </cell>
          <cell r="O203">
            <v>8</v>
          </cell>
        </row>
        <row r="204">
          <cell r="B204">
            <v>45439</v>
          </cell>
          <cell r="J204" t="str">
            <v>Groceries</v>
          </cell>
          <cell r="O204">
            <v>24</v>
          </cell>
        </row>
        <row r="205">
          <cell r="B205">
            <v>45371</v>
          </cell>
          <cell r="J205" t="str">
            <v>Dairy</v>
          </cell>
          <cell r="O205">
            <v>56</v>
          </cell>
        </row>
        <row r="206">
          <cell r="B206">
            <v>45350</v>
          </cell>
          <cell r="J206" t="str">
            <v>Groceries</v>
          </cell>
          <cell r="O206">
            <v>17.100000000000001</v>
          </cell>
        </row>
        <row r="207">
          <cell r="B207">
            <v>45603</v>
          </cell>
          <cell r="J207" t="str">
            <v>Groceries</v>
          </cell>
          <cell r="O207">
            <v>18</v>
          </cell>
        </row>
        <row r="208">
          <cell r="B208">
            <v>45471</v>
          </cell>
          <cell r="J208" t="str">
            <v>Handicrafts</v>
          </cell>
          <cell r="O208">
            <v>35</v>
          </cell>
        </row>
        <row r="209">
          <cell r="B209">
            <v>45364</v>
          </cell>
          <cell r="J209" t="str">
            <v>Groceries</v>
          </cell>
          <cell r="O209">
            <v>2.8</v>
          </cell>
        </row>
        <row r="210">
          <cell r="B210">
            <v>45524</v>
          </cell>
          <cell r="J210" t="str">
            <v>Groceries</v>
          </cell>
          <cell r="O210">
            <v>30.8</v>
          </cell>
        </row>
        <row r="211">
          <cell r="B211">
            <v>45318</v>
          </cell>
          <cell r="J211" t="str">
            <v>Handicrafts</v>
          </cell>
          <cell r="O211">
            <v>40</v>
          </cell>
        </row>
        <row r="212">
          <cell r="B212">
            <v>45518</v>
          </cell>
          <cell r="J212" t="str">
            <v>Traditional Food</v>
          </cell>
          <cell r="O212">
            <v>14</v>
          </cell>
        </row>
        <row r="213">
          <cell r="B213">
            <v>45554</v>
          </cell>
          <cell r="J213" t="str">
            <v>Clothing</v>
          </cell>
          <cell r="O213">
            <v>72</v>
          </cell>
        </row>
        <row r="214">
          <cell r="B214">
            <v>45315</v>
          </cell>
          <cell r="J214" t="str">
            <v>Dairy</v>
          </cell>
          <cell r="O214">
            <v>12</v>
          </cell>
        </row>
        <row r="215">
          <cell r="B215">
            <v>45446</v>
          </cell>
          <cell r="J215" t="str">
            <v>Traditional Food</v>
          </cell>
          <cell r="O215">
            <v>2.94</v>
          </cell>
        </row>
        <row r="216">
          <cell r="B216">
            <v>45353</v>
          </cell>
          <cell r="J216" t="str">
            <v>Handicrafts</v>
          </cell>
          <cell r="O216">
            <v>35</v>
          </cell>
        </row>
        <row r="217">
          <cell r="B217">
            <v>45564</v>
          </cell>
          <cell r="J217" t="str">
            <v>Beverages</v>
          </cell>
          <cell r="O217">
            <v>7.6</v>
          </cell>
        </row>
        <row r="218">
          <cell r="B218">
            <v>45495</v>
          </cell>
          <cell r="J218" t="str">
            <v>Handicrafts</v>
          </cell>
          <cell r="O218">
            <v>24</v>
          </cell>
        </row>
        <row r="219">
          <cell r="B219">
            <v>45586</v>
          </cell>
          <cell r="J219" t="str">
            <v>Traditional Food</v>
          </cell>
          <cell r="O219">
            <v>13.3</v>
          </cell>
        </row>
        <row r="220">
          <cell r="B220">
            <v>45350</v>
          </cell>
          <cell r="J220" t="str">
            <v>Groceries</v>
          </cell>
          <cell r="O220">
            <v>15.6</v>
          </cell>
        </row>
        <row r="221">
          <cell r="B221">
            <v>45337</v>
          </cell>
          <cell r="J221" t="str">
            <v>Groceries</v>
          </cell>
          <cell r="O221">
            <v>10.78</v>
          </cell>
        </row>
        <row r="222">
          <cell r="B222">
            <v>45494</v>
          </cell>
          <cell r="J222" t="str">
            <v>Groceries</v>
          </cell>
          <cell r="O222">
            <v>25.2</v>
          </cell>
        </row>
        <row r="223">
          <cell r="B223">
            <v>45553</v>
          </cell>
          <cell r="J223" t="str">
            <v>Beverages</v>
          </cell>
          <cell r="O223">
            <v>2.84</v>
          </cell>
        </row>
        <row r="224">
          <cell r="B224">
            <v>45622</v>
          </cell>
          <cell r="J224" t="str">
            <v>Handicrafts</v>
          </cell>
          <cell r="O224">
            <v>60</v>
          </cell>
        </row>
        <row r="225">
          <cell r="B225">
            <v>45600</v>
          </cell>
          <cell r="J225" t="str">
            <v>Beverages</v>
          </cell>
          <cell r="O225">
            <v>6.35</v>
          </cell>
        </row>
        <row r="226">
          <cell r="B226">
            <v>45529</v>
          </cell>
          <cell r="J226" t="str">
            <v>Beverages</v>
          </cell>
          <cell r="O226">
            <v>12.16</v>
          </cell>
        </row>
        <row r="227">
          <cell r="B227">
            <v>45369</v>
          </cell>
          <cell r="J227" t="str">
            <v>Handicrafts</v>
          </cell>
          <cell r="O227">
            <v>120</v>
          </cell>
        </row>
        <row r="228">
          <cell r="B228">
            <v>45594</v>
          </cell>
          <cell r="J228" t="str">
            <v>Handicrafts</v>
          </cell>
          <cell r="O228">
            <v>70</v>
          </cell>
        </row>
        <row r="229">
          <cell r="B229">
            <v>45311</v>
          </cell>
          <cell r="J229" t="str">
            <v>Groceries</v>
          </cell>
          <cell r="O229">
            <v>1.8</v>
          </cell>
        </row>
        <row r="230">
          <cell r="B230">
            <v>45528</v>
          </cell>
          <cell r="J230" t="str">
            <v>Traditional Food</v>
          </cell>
          <cell r="O230">
            <v>18.05</v>
          </cell>
        </row>
        <row r="231">
          <cell r="B231">
            <v>45584</v>
          </cell>
          <cell r="J231" t="str">
            <v>Traditional Food</v>
          </cell>
          <cell r="O231">
            <v>3.5</v>
          </cell>
        </row>
        <row r="232">
          <cell r="B232">
            <v>45522</v>
          </cell>
          <cell r="J232" t="str">
            <v>Beverages</v>
          </cell>
          <cell r="O232">
            <v>3.4</v>
          </cell>
        </row>
        <row r="233">
          <cell r="B233">
            <v>45312</v>
          </cell>
          <cell r="J233" t="str">
            <v>Traditional Food</v>
          </cell>
          <cell r="O233">
            <v>7.2</v>
          </cell>
        </row>
        <row r="234">
          <cell r="B234">
            <v>45478</v>
          </cell>
          <cell r="J234" t="str">
            <v>Dairy</v>
          </cell>
          <cell r="O234">
            <v>42</v>
          </cell>
        </row>
        <row r="235">
          <cell r="B235">
            <v>45615</v>
          </cell>
          <cell r="J235" t="str">
            <v>Handicrafts</v>
          </cell>
          <cell r="O235">
            <v>88</v>
          </cell>
        </row>
        <row r="236">
          <cell r="B236">
            <v>45421</v>
          </cell>
          <cell r="J236" t="str">
            <v>Groceries</v>
          </cell>
          <cell r="O236">
            <v>47.6</v>
          </cell>
        </row>
        <row r="237">
          <cell r="B237">
            <v>45450</v>
          </cell>
          <cell r="J237" t="str">
            <v>Beverages</v>
          </cell>
          <cell r="O237">
            <v>13</v>
          </cell>
        </row>
        <row r="238">
          <cell r="B238">
            <v>45578</v>
          </cell>
          <cell r="J238" t="str">
            <v>Traditional Food</v>
          </cell>
          <cell r="O238">
            <v>11.7</v>
          </cell>
        </row>
        <row r="239">
          <cell r="B239">
            <v>45622</v>
          </cell>
          <cell r="J239" t="str">
            <v>Beverages</v>
          </cell>
          <cell r="O239">
            <v>13.3</v>
          </cell>
        </row>
        <row r="240">
          <cell r="B240">
            <v>45401</v>
          </cell>
          <cell r="J240" t="str">
            <v>Handicrafts</v>
          </cell>
          <cell r="O240">
            <v>327.25</v>
          </cell>
        </row>
        <row r="241">
          <cell r="B241">
            <v>45331</v>
          </cell>
          <cell r="J241" t="str">
            <v>Beverages</v>
          </cell>
          <cell r="O241">
            <v>8.5</v>
          </cell>
        </row>
        <row r="242">
          <cell r="B242">
            <v>45630</v>
          </cell>
          <cell r="J242" t="str">
            <v>Groceries</v>
          </cell>
          <cell r="O242">
            <v>18.7</v>
          </cell>
        </row>
        <row r="243">
          <cell r="B243">
            <v>45375</v>
          </cell>
          <cell r="J243" t="str">
            <v>Groceries</v>
          </cell>
          <cell r="O243">
            <v>14.28</v>
          </cell>
        </row>
        <row r="244">
          <cell r="B244">
            <v>45314</v>
          </cell>
          <cell r="J244" t="str">
            <v>Beverages</v>
          </cell>
          <cell r="O244">
            <v>10.5</v>
          </cell>
        </row>
        <row r="245">
          <cell r="B245">
            <v>45521</v>
          </cell>
          <cell r="J245" t="str">
            <v>Groceries</v>
          </cell>
          <cell r="O245">
            <v>6.8</v>
          </cell>
        </row>
        <row r="246">
          <cell r="B246">
            <v>45480</v>
          </cell>
          <cell r="J246" t="str">
            <v>Dairy</v>
          </cell>
          <cell r="O246">
            <v>28.5</v>
          </cell>
        </row>
        <row r="247">
          <cell r="B247">
            <v>45374</v>
          </cell>
          <cell r="J247" t="str">
            <v>Groceries</v>
          </cell>
          <cell r="O247">
            <v>16.66</v>
          </cell>
        </row>
        <row r="248">
          <cell r="B248">
            <v>45620</v>
          </cell>
          <cell r="J248" t="str">
            <v>Clothing</v>
          </cell>
          <cell r="O248">
            <v>244.8</v>
          </cell>
        </row>
        <row r="249">
          <cell r="B249">
            <v>45437</v>
          </cell>
          <cell r="J249" t="str">
            <v>Traditional Food</v>
          </cell>
          <cell r="O249">
            <v>6.36</v>
          </cell>
        </row>
        <row r="250">
          <cell r="B250">
            <v>45515</v>
          </cell>
          <cell r="J250" t="str">
            <v>Dairy</v>
          </cell>
          <cell r="O250">
            <v>10.5</v>
          </cell>
        </row>
        <row r="251">
          <cell r="B251">
            <v>45504</v>
          </cell>
          <cell r="J251" t="str">
            <v>Handicrafts</v>
          </cell>
          <cell r="O251">
            <v>24</v>
          </cell>
        </row>
        <row r="252">
          <cell r="B252">
            <v>45483</v>
          </cell>
          <cell r="J252" t="str">
            <v>Groceries</v>
          </cell>
          <cell r="O252">
            <v>22.4</v>
          </cell>
        </row>
        <row r="253">
          <cell r="B253">
            <v>45362</v>
          </cell>
          <cell r="J253" t="str">
            <v>Handicrafts</v>
          </cell>
          <cell r="O253">
            <v>16</v>
          </cell>
        </row>
        <row r="254">
          <cell r="B254">
            <v>45521</v>
          </cell>
          <cell r="J254" t="str">
            <v>Beverages</v>
          </cell>
          <cell r="O254">
            <v>20</v>
          </cell>
        </row>
        <row r="255">
          <cell r="B255">
            <v>45368</v>
          </cell>
          <cell r="J255" t="str">
            <v>Clothing</v>
          </cell>
          <cell r="O255">
            <v>291.60000000000002</v>
          </cell>
        </row>
        <row r="256">
          <cell r="B256">
            <v>45413</v>
          </cell>
          <cell r="J256" t="str">
            <v>Traditional Food</v>
          </cell>
          <cell r="O256">
            <v>25</v>
          </cell>
        </row>
        <row r="257">
          <cell r="B257">
            <v>45348</v>
          </cell>
          <cell r="J257" t="str">
            <v>Groceries</v>
          </cell>
          <cell r="O257">
            <v>13.6</v>
          </cell>
        </row>
        <row r="258">
          <cell r="B258">
            <v>45365</v>
          </cell>
          <cell r="J258" t="str">
            <v>Dairy</v>
          </cell>
          <cell r="O258">
            <v>35</v>
          </cell>
        </row>
        <row r="259">
          <cell r="B259">
            <v>45387</v>
          </cell>
          <cell r="J259" t="str">
            <v>Beverages</v>
          </cell>
          <cell r="O259">
            <v>2.13</v>
          </cell>
        </row>
        <row r="260">
          <cell r="B260">
            <v>45491</v>
          </cell>
          <cell r="J260" t="str">
            <v>Dairy</v>
          </cell>
          <cell r="O260">
            <v>56</v>
          </cell>
        </row>
        <row r="261">
          <cell r="B261">
            <v>45474</v>
          </cell>
          <cell r="J261" t="str">
            <v>Clothing</v>
          </cell>
          <cell r="O261">
            <v>54</v>
          </cell>
        </row>
        <row r="262">
          <cell r="B262">
            <v>45360</v>
          </cell>
          <cell r="J262" t="str">
            <v>Traditional Food</v>
          </cell>
          <cell r="O262">
            <v>5</v>
          </cell>
        </row>
        <row r="263">
          <cell r="B263">
            <v>45648</v>
          </cell>
          <cell r="J263" t="str">
            <v>Beverages</v>
          </cell>
          <cell r="O263">
            <v>10.88</v>
          </cell>
        </row>
        <row r="264">
          <cell r="B264">
            <v>45310</v>
          </cell>
          <cell r="J264" t="str">
            <v>Traditional Food</v>
          </cell>
          <cell r="O264">
            <v>10</v>
          </cell>
        </row>
        <row r="265">
          <cell r="B265">
            <v>45450</v>
          </cell>
          <cell r="J265" t="str">
            <v>Traditional Food</v>
          </cell>
          <cell r="O265">
            <v>8.5</v>
          </cell>
        </row>
        <row r="266">
          <cell r="B266">
            <v>45310</v>
          </cell>
          <cell r="J266" t="str">
            <v>Dairy</v>
          </cell>
          <cell r="O266">
            <v>10.5</v>
          </cell>
        </row>
        <row r="267">
          <cell r="B267">
            <v>45431</v>
          </cell>
          <cell r="J267" t="str">
            <v>Traditional Food</v>
          </cell>
          <cell r="O267">
            <v>1.68</v>
          </cell>
        </row>
        <row r="268">
          <cell r="B268">
            <v>45489</v>
          </cell>
          <cell r="J268" t="str">
            <v>Groceries</v>
          </cell>
          <cell r="O268">
            <v>30.8</v>
          </cell>
        </row>
        <row r="269">
          <cell r="B269">
            <v>45334</v>
          </cell>
          <cell r="J269" t="str">
            <v>Handicrafts</v>
          </cell>
          <cell r="O269">
            <v>168</v>
          </cell>
        </row>
        <row r="270">
          <cell r="B270">
            <v>45456</v>
          </cell>
          <cell r="J270" t="str">
            <v>Beverages</v>
          </cell>
          <cell r="O270">
            <v>3</v>
          </cell>
        </row>
        <row r="271">
          <cell r="B271">
            <v>45600</v>
          </cell>
          <cell r="J271" t="str">
            <v>Handicrafts</v>
          </cell>
          <cell r="O271">
            <v>490</v>
          </cell>
        </row>
        <row r="272">
          <cell r="B272">
            <v>45472</v>
          </cell>
          <cell r="J272" t="str">
            <v>Groceries</v>
          </cell>
          <cell r="O272">
            <v>18</v>
          </cell>
        </row>
        <row r="273">
          <cell r="B273">
            <v>45635</v>
          </cell>
          <cell r="J273" t="str">
            <v>Traditional Food</v>
          </cell>
          <cell r="O273">
            <v>6.5</v>
          </cell>
        </row>
        <row r="274">
          <cell r="B274">
            <v>45365</v>
          </cell>
          <cell r="J274" t="str">
            <v>Beverages</v>
          </cell>
          <cell r="O274">
            <v>13.6</v>
          </cell>
        </row>
        <row r="275">
          <cell r="B275">
            <v>45412</v>
          </cell>
          <cell r="J275" t="str">
            <v>Beverages</v>
          </cell>
          <cell r="O275">
            <v>12</v>
          </cell>
        </row>
        <row r="276">
          <cell r="B276">
            <v>45639</v>
          </cell>
          <cell r="J276" t="str">
            <v>Traditional Food</v>
          </cell>
          <cell r="O276">
            <v>7.5</v>
          </cell>
        </row>
        <row r="277">
          <cell r="B277">
            <v>45563</v>
          </cell>
          <cell r="J277" t="str">
            <v>Traditional Food</v>
          </cell>
          <cell r="O277">
            <v>12</v>
          </cell>
        </row>
        <row r="278">
          <cell r="B278">
            <v>45305</v>
          </cell>
          <cell r="J278" t="str">
            <v>Beverages</v>
          </cell>
          <cell r="O278">
            <v>4.5</v>
          </cell>
        </row>
        <row r="279">
          <cell r="B279">
            <v>45426</v>
          </cell>
          <cell r="J279" t="str">
            <v>Groceries</v>
          </cell>
          <cell r="O279">
            <v>16.2</v>
          </cell>
        </row>
        <row r="280">
          <cell r="B280">
            <v>45394</v>
          </cell>
          <cell r="J280" t="str">
            <v>Handicrafts</v>
          </cell>
          <cell r="O280">
            <v>140</v>
          </cell>
        </row>
        <row r="281">
          <cell r="B281">
            <v>45336</v>
          </cell>
          <cell r="J281" t="str">
            <v>Beverages</v>
          </cell>
          <cell r="O281">
            <v>7.48</v>
          </cell>
        </row>
        <row r="282">
          <cell r="B282">
            <v>45445</v>
          </cell>
          <cell r="J282" t="str">
            <v>Groceries</v>
          </cell>
          <cell r="O282">
            <v>10.8</v>
          </cell>
        </row>
        <row r="283">
          <cell r="B283">
            <v>45552</v>
          </cell>
          <cell r="J283" t="str">
            <v>Beverages</v>
          </cell>
          <cell r="O283">
            <v>6</v>
          </cell>
        </row>
        <row r="284">
          <cell r="B284">
            <v>45544</v>
          </cell>
          <cell r="J284" t="str">
            <v>Beverages</v>
          </cell>
          <cell r="O284">
            <v>1</v>
          </cell>
        </row>
        <row r="285">
          <cell r="B285">
            <v>45605</v>
          </cell>
          <cell r="J285" t="str">
            <v>Groceries</v>
          </cell>
          <cell r="O285">
            <v>2.7</v>
          </cell>
        </row>
        <row r="286">
          <cell r="B286">
            <v>45501</v>
          </cell>
          <cell r="J286" t="str">
            <v>Dairy</v>
          </cell>
          <cell r="O286">
            <v>28.5</v>
          </cell>
        </row>
        <row r="287">
          <cell r="B287">
            <v>45530</v>
          </cell>
          <cell r="J287" t="str">
            <v>Traditional Food</v>
          </cell>
          <cell r="O287">
            <v>17</v>
          </cell>
        </row>
        <row r="288">
          <cell r="B288">
            <v>45358</v>
          </cell>
          <cell r="J288" t="str">
            <v>Groceries</v>
          </cell>
          <cell r="O288">
            <v>26.6</v>
          </cell>
        </row>
        <row r="289">
          <cell r="B289">
            <v>45447</v>
          </cell>
          <cell r="J289" t="str">
            <v>Traditional Food</v>
          </cell>
          <cell r="O289">
            <v>15</v>
          </cell>
        </row>
        <row r="290">
          <cell r="B290">
            <v>45557</v>
          </cell>
          <cell r="J290" t="str">
            <v>Beverages</v>
          </cell>
          <cell r="O290">
            <v>6.4</v>
          </cell>
        </row>
        <row r="291">
          <cell r="B291">
            <v>45356</v>
          </cell>
          <cell r="J291" t="str">
            <v>Groceries</v>
          </cell>
          <cell r="O291">
            <v>19</v>
          </cell>
        </row>
        <row r="292">
          <cell r="B292">
            <v>45379</v>
          </cell>
          <cell r="J292" t="str">
            <v>Beverages</v>
          </cell>
          <cell r="O292">
            <v>13.6</v>
          </cell>
        </row>
        <row r="293">
          <cell r="B293">
            <v>45333</v>
          </cell>
          <cell r="J293" t="str">
            <v>Traditional Food</v>
          </cell>
          <cell r="O293">
            <v>0.9</v>
          </cell>
        </row>
        <row r="294">
          <cell r="B294">
            <v>45608</v>
          </cell>
          <cell r="J294" t="str">
            <v>Beverages</v>
          </cell>
          <cell r="O294">
            <v>1.5</v>
          </cell>
        </row>
        <row r="295">
          <cell r="B295">
            <v>45539</v>
          </cell>
          <cell r="J295" t="str">
            <v>Handicrafts</v>
          </cell>
          <cell r="O295">
            <v>238</v>
          </cell>
        </row>
        <row r="296">
          <cell r="B296">
            <v>45329</v>
          </cell>
          <cell r="J296" t="str">
            <v>Handicrafts</v>
          </cell>
          <cell r="O296">
            <v>70</v>
          </cell>
        </row>
        <row r="297">
          <cell r="B297">
            <v>45466</v>
          </cell>
          <cell r="J297" t="str">
            <v>Groceries</v>
          </cell>
          <cell r="O297">
            <v>18</v>
          </cell>
        </row>
        <row r="298">
          <cell r="B298">
            <v>45496</v>
          </cell>
          <cell r="J298" t="str">
            <v>Handicrafts</v>
          </cell>
          <cell r="O298">
            <v>34</v>
          </cell>
        </row>
        <row r="299">
          <cell r="B299">
            <v>45415</v>
          </cell>
          <cell r="J299" t="str">
            <v>Traditional Food</v>
          </cell>
          <cell r="O299">
            <v>37.5</v>
          </cell>
        </row>
        <row r="300">
          <cell r="B300">
            <v>45317</v>
          </cell>
          <cell r="J300" t="str">
            <v>Beverages</v>
          </cell>
          <cell r="O300">
            <v>10</v>
          </cell>
        </row>
        <row r="301">
          <cell r="B301">
            <v>45459</v>
          </cell>
          <cell r="J301" t="str">
            <v>Beverages</v>
          </cell>
          <cell r="O301">
            <v>12.92</v>
          </cell>
        </row>
        <row r="302">
          <cell r="B302">
            <v>45555</v>
          </cell>
          <cell r="J302" t="str">
            <v>Beverages</v>
          </cell>
          <cell r="O302">
            <v>11.25</v>
          </cell>
        </row>
        <row r="303">
          <cell r="B303">
            <v>45493</v>
          </cell>
          <cell r="J303" t="str">
            <v>Traditional Food</v>
          </cell>
          <cell r="O303">
            <v>8.5</v>
          </cell>
        </row>
        <row r="304">
          <cell r="B304">
            <v>45317</v>
          </cell>
          <cell r="J304" t="str">
            <v>Handicrafts</v>
          </cell>
          <cell r="O304">
            <v>120</v>
          </cell>
        </row>
        <row r="305">
          <cell r="B305">
            <v>45566</v>
          </cell>
          <cell r="J305" t="str">
            <v>Dairy</v>
          </cell>
          <cell r="O305">
            <v>1.27</v>
          </cell>
        </row>
        <row r="306">
          <cell r="B306">
            <v>45498</v>
          </cell>
          <cell r="J306" t="str">
            <v>Clothing</v>
          </cell>
          <cell r="O306">
            <v>216</v>
          </cell>
        </row>
        <row r="307">
          <cell r="B307">
            <v>45477</v>
          </cell>
          <cell r="J307" t="str">
            <v>Groceries</v>
          </cell>
          <cell r="O307">
            <v>36</v>
          </cell>
        </row>
        <row r="308">
          <cell r="B308">
            <v>45611</v>
          </cell>
          <cell r="J308" t="str">
            <v>Groceries</v>
          </cell>
          <cell r="O308">
            <v>18</v>
          </cell>
        </row>
        <row r="309">
          <cell r="B309">
            <v>45465</v>
          </cell>
          <cell r="J309" t="str">
            <v>Groceries</v>
          </cell>
          <cell r="O309">
            <v>50.4</v>
          </cell>
        </row>
        <row r="310">
          <cell r="B310">
            <v>45548</v>
          </cell>
          <cell r="J310" t="str">
            <v>Dairy</v>
          </cell>
          <cell r="O310">
            <v>7</v>
          </cell>
        </row>
        <row r="311">
          <cell r="B311">
            <v>45557</v>
          </cell>
          <cell r="J311" t="str">
            <v>Handicrafts</v>
          </cell>
          <cell r="O311">
            <v>120</v>
          </cell>
        </row>
        <row r="312">
          <cell r="B312">
            <v>45605</v>
          </cell>
          <cell r="J312" t="str">
            <v>Beverages</v>
          </cell>
          <cell r="O312">
            <v>11</v>
          </cell>
        </row>
        <row r="313">
          <cell r="B313">
            <v>45551</v>
          </cell>
          <cell r="J313" t="str">
            <v>Handicrafts</v>
          </cell>
          <cell r="O313">
            <v>565.25</v>
          </cell>
        </row>
        <row r="314">
          <cell r="B314">
            <v>45300</v>
          </cell>
          <cell r="J314" t="str">
            <v>Handicrafts</v>
          </cell>
          <cell r="O314">
            <v>420</v>
          </cell>
        </row>
        <row r="315">
          <cell r="B315">
            <v>45597</v>
          </cell>
          <cell r="J315" t="str">
            <v>Handicrafts</v>
          </cell>
          <cell r="O315">
            <v>560</v>
          </cell>
        </row>
        <row r="316">
          <cell r="B316">
            <v>45590</v>
          </cell>
          <cell r="J316" t="str">
            <v>Beverages</v>
          </cell>
          <cell r="O316">
            <v>12</v>
          </cell>
        </row>
        <row r="317">
          <cell r="B317">
            <v>45640</v>
          </cell>
          <cell r="J317" t="str">
            <v>Groceries</v>
          </cell>
          <cell r="O317">
            <v>22.4</v>
          </cell>
        </row>
        <row r="318">
          <cell r="B318">
            <v>45301</v>
          </cell>
          <cell r="J318" t="str">
            <v>Traditional Food</v>
          </cell>
          <cell r="O318">
            <v>37.5</v>
          </cell>
        </row>
        <row r="319">
          <cell r="B319">
            <v>45548</v>
          </cell>
          <cell r="J319" t="str">
            <v>Beverages</v>
          </cell>
          <cell r="O319">
            <v>30</v>
          </cell>
        </row>
        <row r="320">
          <cell r="B320">
            <v>45557</v>
          </cell>
          <cell r="J320" t="str">
            <v>Traditional Food</v>
          </cell>
          <cell r="O320">
            <v>3.29</v>
          </cell>
        </row>
        <row r="321">
          <cell r="B321">
            <v>45452</v>
          </cell>
          <cell r="J321" t="str">
            <v>Dairy</v>
          </cell>
          <cell r="O321">
            <v>9</v>
          </cell>
        </row>
        <row r="322">
          <cell r="B322">
            <v>45638</v>
          </cell>
          <cell r="J322" t="str">
            <v>Groceries</v>
          </cell>
          <cell r="O322">
            <v>17.100000000000001</v>
          </cell>
        </row>
        <row r="323">
          <cell r="B323">
            <v>45577</v>
          </cell>
          <cell r="J323" t="str">
            <v>Beverages</v>
          </cell>
          <cell r="O323">
            <v>7.5</v>
          </cell>
        </row>
        <row r="324">
          <cell r="B324">
            <v>45645</v>
          </cell>
          <cell r="J324" t="str">
            <v>Handicrafts</v>
          </cell>
          <cell r="O324">
            <v>560</v>
          </cell>
        </row>
        <row r="325">
          <cell r="B325">
            <v>45354</v>
          </cell>
          <cell r="J325" t="str">
            <v>Clothing</v>
          </cell>
          <cell r="O325">
            <v>307.8</v>
          </cell>
        </row>
        <row r="326">
          <cell r="B326">
            <v>45366</v>
          </cell>
          <cell r="J326" t="str">
            <v>Groceries</v>
          </cell>
          <cell r="O326">
            <v>28</v>
          </cell>
        </row>
        <row r="327">
          <cell r="B327">
            <v>45518</v>
          </cell>
          <cell r="J327" t="str">
            <v>Traditional Food</v>
          </cell>
          <cell r="O327">
            <v>8.1</v>
          </cell>
        </row>
        <row r="328">
          <cell r="B328">
            <v>45579</v>
          </cell>
          <cell r="J328" t="str">
            <v>Groceries</v>
          </cell>
          <cell r="O328">
            <v>18</v>
          </cell>
        </row>
        <row r="329">
          <cell r="B329">
            <v>45317</v>
          </cell>
          <cell r="J329" t="str">
            <v>Beverages</v>
          </cell>
          <cell r="O329">
            <v>12.75</v>
          </cell>
        </row>
        <row r="330">
          <cell r="B330">
            <v>45461</v>
          </cell>
          <cell r="J330" t="str">
            <v>Traditional Food</v>
          </cell>
          <cell r="O330">
            <v>40</v>
          </cell>
        </row>
        <row r="331">
          <cell r="B331">
            <v>45500</v>
          </cell>
          <cell r="J331" t="str">
            <v>Traditional Food</v>
          </cell>
          <cell r="O331">
            <v>8</v>
          </cell>
        </row>
        <row r="332">
          <cell r="B332">
            <v>45438</v>
          </cell>
          <cell r="J332" t="str">
            <v>Handicrafts</v>
          </cell>
          <cell r="O332">
            <v>59.5</v>
          </cell>
        </row>
        <row r="333">
          <cell r="B333">
            <v>45381</v>
          </cell>
          <cell r="J333" t="str">
            <v>Beverages</v>
          </cell>
          <cell r="O333">
            <v>8.9600000000000009</v>
          </cell>
        </row>
        <row r="334">
          <cell r="B334">
            <v>45545</v>
          </cell>
          <cell r="J334" t="str">
            <v>Traditional Food</v>
          </cell>
          <cell r="O334">
            <v>2.7</v>
          </cell>
        </row>
        <row r="335">
          <cell r="B335">
            <v>45296</v>
          </cell>
          <cell r="J335" t="str">
            <v>Handicrafts</v>
          </cell>
          <cell r="O335">
            <v>332.5</v>
          </cell>
        </row>
        <row r="336">
          <cell r="B336">
            <v>45524</v>
          </cell>
          <cell r="J336" t="str">
            <v>Handicrafts</v>
          </cell>
          <cell r="O336">
            <v>136.80000000000001</v>
          </cell>
        </row>
        <row r="337">
          <cell r="B337">
            <v>45431</v>
          </cell>
          <cell r="J337" t="str">
            <v>Beverages</v>
          </cell>
          <cell r="O337">
            <v>5.95</v>
          </cell>
        </row>
        <row r="338">
          <cell r="B338">
            <v>45387</v>
          </cell>
          <cell r="J338" t="str">
            <v>Groceries</v>
          </cell>
          <cell r="O338">
            <v>0.81</v>
          </cell>
        </row>
        <row r="339">
          <cell r="B339">
            <v>45604</v>
          </cell>
          <cell r="J339" t="str">
            <v>Beverages</v>
          </cell>
          <cell r="O339">
            <v>16.510000000000002</v>
          </cell>
        </row>
        <row r="340">
          <cell r="B340">
            <v>45634</v>
          </cell>
          <cell r="J340" t="str">
            <v>Traditional Food</v>
          </cell>
          <cell r="O340">
            <v>4</v>
          </cell>
        </row>
        <row r="341">
          <cell r="B341">
            <v>45295</v>
          </cell>
          <cell r="J341" t="str">
            <v>Handicrafts</v>
          </cell>
          <cell r="O341">
            <v>72</v>
          </cell>
        </row>
        <row r="342">
          <cell r="B342">
            <v>45446</v>
          </cell>
          <cell r="J342" t="str">
            <v>Clothing</v>
          </cell>
          <cell r="O342">
            <v>307.8</v>
          </cell>
        </row>
        <row r="343">
          <cell r="B343">
            <v>45323</v>
          </cell>
          <cell r="J343" t="str">
            <v>Handicrafts</v>
          </cell>
          <cell r="O343">
            <v>48</v>
          </cell>
        </row>
        <row r="344">
          <cell r="B344">
            <v>45645</v>
          </cell>
          <cell r="J344" t="str">
            <v>Dairy</v>
          </cell>
          <cell r="O344">
            <v>12.6</v>
          </cell>
        </row>
        <row r="345">
          <cell r="B345">
            <v>45404</v>
          </cell>
          <cell r="J345" t="str">
            <v>Handicrafts</v>
          </cell>
          <cell r="O345">
            <v>60</v>
          </cell>
        </row>
        <row r="346">
          <cell r="B346">
            <v>45651</v>
          </cell>
          <cell r="J346" t="str">
            <v>Handicrafts</v>
          </cell>
          <cell r="O346">
            <v>216</v>
          </cell>
        </row>
        <row r="347">
          <cell r="B347">
            <v>45640</v>
          </cell>
          <cell r="J347" t="str">
            <v>Beverages</v>
          </cell>
          <cell r="O347">
            <v>25.4</v>
          </cell>
        </row>
        <row r="348">
          <cell r="B348">
            <v>45331</v>
          </cell>
          <cell r="J348" t="str">
            <v>Groceries</v>
          </cell>
          <cell r="O348">
            <v>17.100000000000001</v>
          </cell>
        </row>
        <row r="349">
          <cell r="B349">
            <v>45585</v>
          </cell>
          <cell r="J349" t="str">
            <v>Dairy</v>
          </cell>
          <cell r="O349">
            <v>63</v>
          </cell>
        </row>
        <row r="350">
          <cell r="B350">
            <v>45351</v>
          </cell>
          <cell r="J350" t="str">
            <v>Dairy</v>
          </cell>
          <cell r="O350">
            <v>22.05</v>
          </cell>
        </row>
        <row r="351">
          <cell r="B351">
            <v>45320</v>
          </cell>
          <cell r="J351" t="str">
            <v>Dairy</v>
          </cell>
          <cell r="O351">
            <v>52.5</v>
          </cell>
        </row>
        <row r="352">
          <cell r="B352">
            <v>45636</v>
          </cell>
          <cell r="J352" t="str">
            <v>Traditional Food</v>
          </cell>
          <cell r="O352">
            <v>4.5</v>
          </cell>
        </row>
        <row r="353">
          <cell r="B353">
            <v>45588</v>
          </cell>
          <cell r="J353" t="str">
            <v>Traditional Food</v>
          </cell>
          <cell r="O353">
            <v>1.5</v>
          </cell>
        </row>
        <row r="354">
          <cell r="B354">
            <v>45327</v>
          </cell>
          <cell r="J354" t="str">
            <v>Traditional Food</v>
          </cell>
          <cell r="O354">
            <v>16</v>
          </cell>
        </row>
        <row r="355">
          <cell r="B355">
            <v>45483</v>
          </cell>
          <cell r="J355" t="str">
            <v>Beverages</v>
          </cell>
          <cell r="O355">
            <v>13</v>
          </cell>
        </row>
        <row r="356">
          <cell r="B356">
            <v>45333</v>
          </cell>
          <cell r="J356" t="str">
            <v>Groceries</v>
          </cell>
          <cell r="O356">
            <v>50.4</v>
          </cell>
        </row>
        <row r="357">
          <cell r="B357">
            <v>45567</v>
          </cell>
          <cell r="J357" t="str">
            <v>Traditional Food</v>
          </cell>
          <cell r="O357">
            <v>30.94</v>
          </cell>
        </row>
        <row r="358">
          <cell r="B358">
            <v>45444</v>
          </cell>
          <cell r="J358" t="str">
            <v>Traditional Food</v>
          </cell>
          <cell r="O358">
            <v>6.75</v>
          </cell>
        </row>
        <row r="359">
          <cell r="B359">
            <v>45409</v>
          </cell>
          <cell r="J359" t="str">
            <v>Groceries</v>
          </cell>
          <cell r="O359">
            <v>16</v>
          </cell>
        </row>
        <row r="360">
          <cell r="B360">
            <v>45308</v>
          </cell>
          <cell r="J360" t="str">
            <v>Beverages</v>
          </cell>
          <cell r="O360">
            <v>19.88</v>
          </cell>
        </row>
        <row r="361">
          <cell r="B361">
            <v>45397</v>
          </cell>
          <cell r="J361" t="str">
            <v>Traditional Food</v>
          </cell>
          <cell r="O361">
            <v>1.5</v>
          </cell>
        </row>
        <row r="362">
          <cell r="B362">
            <v>45314</v>
          </cell>
          <cell r="J362" t="str">
            <v>Traditional Food</v>
          </cell>
          <cell r="O362">
            <v>6.5</v>
          </cell>
        </row>
        <row r="363">
          <cell r="B363">
            <v>45549</v>
          </cell>
          <cell r="J363" t="str">
            <v>Traditional Food</v>
          </cell>
          <cell r="O363">
            <v>5</v>
          </cell>
        </row>
        <row r="364">
          <cell r="B364">
            <v>45413</v>
          </cell>
          <cell r="J364" t="str">
            <v>Handicrafts</v>
          </cell>
          <cell r="O364">
            <v>80</v>
          </cell>
        </row>
        <row r="365">
          <cell r="B365">
            <v>45445</v>
          </cell>
          <cell r="J365" t="str">
            <v>Beverages</v>
          </cell>
          <cell r="O365">
            <v>6.75</v>
          </cell>
        </row>
        <row r="366">
          <cell r="B366">
            <v>45576</v>
          </cell>
          <cell r="J366" t="str">
            <v>Beverages</v>
          </cell>
          <cell r="O366">
            <v>12</v>
          </cell>
        </row>
        <row r="367">
          <cell r="B367">
            <v>45648</v>
          </cell>
          <cell r="J367" t="str">
            <v>Groceries</v>
          </cell>
          <cell r="O367">
            <v>39.200000000000003</v>
          </cell>
        </row>
        <row r="368">
          <cell r="B368">
            <v>45415</v>
          </cell>
          <cell r="J368" t="str">
            <v>Beverages</v>
          </cell>
          <cell r="O368">
            <v>6</v>
          </cell>
        </row>
        <row r="369">
          <cell r="B369">
            <v>45579</v>
          </cell>
          <cell r="J369" t="str">
            <v>Groceries</v>
          </cell>
          <cell r="O369">
            <v>12.6</v>
          </cell>
        </row>
        <row r="370">
          <cell r="B370">
            <v>45422</v>
          </cell>
          <cell r="J370" t="str">
            <v>Groceries</v>
          </cell>
          <cell r="O370">
            <v>19.600000000000001</v>
          </cell>
        </row>
        <row r="371">
          <cell r="B371">
            <v>45339</v>
          </cell>
          <cell r="J371" t="str">
            <v>Groceries</v>
          </cell>
          <cell r="O371">
            <v>14.58</v>
          </cell>
        </row>
        <row r="372">
          <cell r="B372">
            <v>45636</v>
          </cell>
          <cell r="J372" t="str">
            <v>Clothing</v>
          </cell>
          <cell r="O372">
            <v>342</v>
          </cell>
        </row>
        <row r="373">
          <cell r="B373">
            <v>45537</v>
          </cell>
          <cell r="J373" t="str">
            <v>Beverages</v>
          </cell>
          <cell r="O373">
            <v>8.89</v>
          </cell>
        </row>
        <row r="374">
          <cell r="B374">
            <v>45389</v>
          </cell>
          <cell r="J374" t="str">
            <v>Traditional Food</v>
          </cell>
          <cell r="O374">
            <v>1.8</v>
          </cell>
        </row>
        <row r="375">
          <cell r="B375">
            <v>45495</v>
          </cell>
          <cell r="J375" t="str">
            <v>Beverages</v>
          </cell>
          <cell r="O375">
            <v>5.68</v>
          </cell>
        </row>
        <row r="376">
          <cell r="B376">
            <v>45565</v>
          </cell>
          <cell r="J376" t="str">
            <v>Groceries</v>
          </cell>
          <cell r="O376">
            <v>33.6</v>
          </cell>
        </row>
        <row r="377">
          <cell r="B377">
            <v>45342</v>
          </cell>
          <cell r="J377" t="str">
            <v>Dairy</v>
          </cell>
          <cell r="O377">
            <v>20.32</v>
          </cell>
        </row>
        <row r="378">
          <cell r="B378">
            <v>45452</v>
          </cell>
          <cell r="J378" t="str">
            <v>Beverages</v>
          </cell>
          <cell r="O378">
            <v>21</v>
          </cell>
        </row>
        <row r="379">
          <cell r="B379">
            <v>45425</v>
          </cell>
          <cell r="J379" t="str">
            <v>Beverages</v>
          </cell>
          <cell r="O379">
            <v>17.100000000000001</v>
          </cell>
        </row>
        <row r="380">
          <cell r="B380">
            <v>45392</v>
          </cell>
          <cell r="J380" t="str">
            <v>Handicrafts</v>
          </cell>
          <cell r="O380">
            <v>385</v>
          </cell>
        </row>
        <row r="381">
          <cell r="B381">
            <v>45573</v>
          </cell>
          <cell r="J381" t="str">
            <v>Beverages</v>
          </cell>
          <cell r="O381">
            <v>8.25</v>
          </cell>
        </row>
        <row r="382">
          <cell r="B382">
            <v>45378</v>
          </cell>
          <cell r="J382" t="str">
            <v>Dairy</v>
          </cell>
          <cell r="O382">
            <v>18</v>
          </cell>
        </row>
        <row r="383">
          <cell r="B383">
            <v>45569</v>
          </cell>
          <cell r="J383" t="str">
            <v>Dairy</v>
          </cell>
          <cell r="O383">
            <v>2.84</v>
          </cell>
        </row>
        <row r="384">
          <cell r="B384">
            <v>45295</v>
          </cell>
          <cell r="J384" t="str">
            <v>Traditional Food</v>
          </cell>
          <cell r="O384">
            <v>14</v>
          </cell>
        </row>
        <row r="385">
          <cell r="B385">
            <v>45296</v>
          </cell>
          <cell r="J385" t="str">
            <v>Traditional Food</v>
          </cell>
          <cell r="O385">
            <v>6.65</v>
          </cell>
        </row>
        <row r="386">
          <cell r="B386">
            <v>45300</v>
          </cell>
          <cell r="J386" t="str">
            <v>Dairy</v>
          </cell>
          <cell r="O386">
            <v>1.42</v>
          </cell>
        </row>
        <row r="387">
          <cell r="B387">
            <v>45566</v>
          </cell>
          <cell r="J387" t="str">
            <v>Traditional Food</v>
          </cell>
          <cell r="O387">
            <v>5</v>
          </cell>
        </row>
        <row r="388">
          <cell r="B388">
            <v>45346</v>
          </cell>
          <cell r="J388" t="str">
            <v>Groceries</v>
          </cell>
          <cell r="O388">
            <v>4.5599999999999996</v>
          </cell>
        </row>
        <row r="389">
          <cell r="B389">
            <v>45473</v>
          </cell>
          <cell r="J389" t="str">
            <v>Dairy</v>
          </cell>
          <cell r="O389">
            <v>26.82</v>
          </cell>
        </row>
        <row r="390">
          <cell r="B390">
            <v>45581</v>
          </cell>
          <cell r="J390" t="str">
            <v>Groceries</v>
          </cell>
          <cell r="O390">
            <v>20.16</v>
          </cell>
        </row>
        <row r="391">
          <cell r="B391">
            <v>45339</v>
          </cell>
          <cell r="J391" t="str">
            <v>Traditional Food</v>
          </cell>
          <cell r="O391">
            <v>13</v>
          </cell>
        </row>
        <row r="392">
          <cell r="B392">
            <v>45651</v>
          </cell>
          <cell r="J392" t="str">
            <v>Traditional Food</v>
          </cell>
          <cell r="O392">
            <v>3</v>
          </cell>
        </row>
        <row r="393">
          <cell r="B393">
            <v>45562</v>
          </cell>
          <cell r="J393" t="str">
            <v>Handicrafts</v>
          </cell>
          <cell r="O393">
            <v>16</v>
          </cell>
        </row>
        <row r="394">
          <cell r="B394">
            <v>45315</v>
          </cell>
          <cell r="J394" t="str">
            <v>Dairy</v>
          </cell>
          <cell r="O394">
            <v>4.05</v>
          </cell>
        </row>
        <row r="395">
          <cell r="B395">
            <v>45383</v>
          </cell>
          <cell r="J395" t="str">
            <v>Groceries</v>
          </cell>
          <cell r="O395">
            <v>22</v>
          </cell>
        </row>
        <row r="396">
          <cell r="B396">
            <v>45331</v>
          </cell>
          <cell r="J396" t="str">
            <v>Beverages</v>
          </cell>
          <cell r="O396">
            <v>10</v>
          </cell>
        </row>
        <row r="397">
          <cell r="B397">
            <v>45488</v>
          </cell>
          <cell r="J397" t="str">
            <v>Groceries</v>
          </cell>
          <cell r="O397">
            <v>11.9</v>
          </cell>
        </row>
        <row r="398">
          <cell r="B398">
            <v>45319</v>
          </cell>
          <cell r="J398" t="str">
            <v>Traditional Food</v>
          </cell>
          <cell r="O398">
            <v>4</v>
          </cell>
        </row>
        <row r="399">
          <cell r="B399">
            <v>45459</v>
          </cell>
          <cell r="J399" t="str">
            <v>Handicrafts</v>
          </cell>
          <cell r="O399">
            <v>7.2</v>
          </cell>
        </row>
        <row r="400">
          <cell r="B400">
            <v>45474</v>
          </cell>
          <cell r="J400" t="str">
            <v>Dairy</v>
          </cell>
          <cell r="O400">
            <v>27</v>
          </cell>
        </row>
        <row r="401">
          <cell r="B401">
            <v>45608</v>
          </cell>
          <cell r="J401" t="str">
            <v>Groceries</v>
          </cell>
          <cell r="O401">
            <v>23.8</v>
          </cell>
        </row>
        <row r="402">
          <cell r="B402">
            <v>45370</v>
          </cell>
          <cell r="J402" t="str">
            <v>Traditional Food</v>
          </cell>
          <cell r="O402">
            <v>11.7</v>
          </cell>
        </row>
        <row r="403">
          <cell r="B403">
            <v>45476</v>
          </cell>
          <cell r="J403" t="str">
            <v>Groceries</v>
          </cell>
          <cell r="O403">
            <v>11.2</v>
          </cell>
        </row>
        <row r="404">
          <cell r="B404">
            <v>45430</v>
          </cell>
          <cell r="J404" t="str">
            <v>Groceries</v>
          </cell>
          <cell r="O404">
            <v>3.6</v>
          </cell>
        </row>
        <row r="405">
          <cell r="B405">
            <v>45344</v>
          </cell>
          <cell r="J405" t="str">
            <v>Groceries</v>
          </cell>
          <cell r="O405">
            <v>0.9</v>
          </cell>
        </row>
        <row r="406">
          <cell r="B406">
            <v>45298</v>
          </cell>
          <cell r="J406" t="str">
            <v>Handicrafts</v>
          </cell>
          <cell r="O406">
            <v>80</v>
          </cell>
        </row>
        <row r="407">
          <cell r="B407">
            <v>45584</v>
          </cell>
          <cell r="J407" t="str">
            <v>Groceries</v>
          </cell>
          <cell r="O407">
            <v>34</v>
          </cell>
        </row>
        <row r="408">
          <cell r="B408">
            <v>45446</v>
          </cell>
          <cell r="J408" t="str">
            <v>Beverages</v>
          </cell>
          <cell r="O408">
            <v>9</v>
          </cell>
        </row>
        <row r="409">
          <cell r="B409">
            <v>45507</v>
          </cell>
          <cell r="J409" t="str">
            <v>Groceries</v>
          </cell>
          <cell r="O409">
            <v>12</v>
          </cell>
        </row>
        <row r="410">
          <cell r="B410">
            <v>45612</v>
          </cell>
          <cell r="J410" t="str">
            <v>Clothing</v>
          </cell>
          <cell r="O410">
            <v>273.60000000000002</v>
          </cell>
        </row>
        <row r="411">
          <cell r="B411">
            <v>45447</v>
          </cell>
          <cell r="J411" t="str">
            <v>Traditional Food</v>
          </cell>
          <cell r="O411">
            <v>2.5</v>
          </cell>
        </row>
        <row r="412">
          <cell r="B412">
            <v>45517</v>
          </cell>
          <cell r="J412" t="str">
            <v>Groceries</v>
          </cell>
          <cell r="O412">
            <v>30.8</v>
          </cell>
        </row>
        <row r="413">
          <cell r="B413">
            <v>45456</v>
          </cell>
          <cell r="J413" t="str">
            <v>Beverages</v>
          </cell>
          <cell r="O413">
            <v>18</v>
          </cell>
        </row>
        <row r="414">
          <cell r="B414">
            <v>45455</v>
          </cell>
          <cell r="J414" t="str">
            <v>Beverages</v>
          </cell>
          <cell r="O414">
            <v>6.8</v>
          </cell>
        </row>
        <row r="415">
          <cell r="B415">
            <v>45484</v>
          </cell>
          <cell r="J415" t="str">
            <v>Beverages</v>
          </cell>
          <cell r="O415">
            <v>5.76</v>
          </cell>
        </row>
        <row r="416">
          <cell r="B416">
            <v>45595</v>
          </cell>
          <cell r="J416" t="str">
            <v>Traditional Food</v>
          </cell>
          <cell r="O416">
            <v>45</v>
          </cell>
        </row>
        <row r="417">
          <cell r="B417">
            <v>45654</v>
          </cell>
          <cell r="J417" t="str">
            <v>Traditional Food</v>
          </cell>
          <cell r="O417">
            <v>3.5</v>
          </cell>
        </row>
        <row r="418">
          <cell r="B418">
            <v>45636</v>
          </cell>
          <cell r="J418" t="str">
            <v>Traditional Food</v>
          </cell>
          <cell r="O418">
            <v>16</v>
          </cell>
        </row>
        <row r="419">
          <cell r="B419">
            <v>45508</v>
          </cell>
          <cell r="J419" t="str">
            <v>Clothing</v>
          </cell>
          <cell r="O419">
            <v>234</v>
          </cell>
        </row>
        <row r="420">
          <cell r="B420">
            <v>45565</v>
          </cell>
          <cell r="J420" t="str">
            <v>Dairy</v>
          </cell>
          <cell r="O420">
            <v>21.59</v>
          </cell>
        </row>
        <row r="421">
          <cell r="B421">
            <v>45651</v>
          </cell>
          <cell r="J421" t="str">
            <v>Traditional Food</v>
          </cell>
          <cell r="O421">
            <v>8.4600000000000009</v>
          </cell>
        </row>
        <row r="422">
          <cell r="B422">
            <v>45628</v>
          </cell>
          <cell r="J422" t="str">
            <v>Traditional Food</v>
          </cell>
          <cell r="O422">
            <v>30</v>
          </cell>
        </row>
        <row r="423">
          <cell r="B423">
            <v>45512</v>
          </cell>
          <cell r="J423" t="str">
            <v>Groceries</v>
          </cell>
          <cell r="O423">
            <v>11.2</v>
          </cell>
        </row>
        <row r="424">
          <cell r="B424">
            <v>45520</v>
          </cell>
          <cell r="J424" t="str">
            <v>Dairy</v>
          </cell>
          <cell r="O424">
            <v>42</v>
          </cell>
        </row>
        <row r="425">
          <cell r="B425">
            <v>45468</v>
          </cell>
          <cell r="J425" t="str">
            <v>Dairy</v>
          </cell>
          <cell r="O425">
            <v>3.5</v>
          </cell>
        </row>
        <row r="426">
          <cell r="B426">
            <v>45364</v>
          </cell>
          <cell r="J426" t="str">
            <v>Traditional Food</v>
          </cell>
          <cell r="O426">
            <v>12</v>
          </cell>
        </row>
        <row r="427">
          <cell r="B427">
            <v>45470</v>
          </cell>
          <cell r="J427" t="str">
            <v>Beverages</v>
          </cell>
          <cell r="O427">
            <v>24</v>
          </cell>
        </row>
        <row r="428">
          <cell r="B428">
            <v>45326</v>
          </cell>
          <cell r="J428" t="str">
            <v>Groceries</v>
          </cell>
          <cell r="O428">
            <v>9</v>
          </cell>
        </row>
        <row r="429">
          <cell r="B429">
            <v>45623</v>
          </cell>
          <cell r="J429" t="str">
            <v>Traditional Food</v>
          </cell>
          <cell r="O429">
            <v>1.8</v>
          </cell>
        </row>
        <row r="430">
          <cell r="B430">
            <v>45574</v>
          </cell>
          <cell r="J430" t="str">
            <v>Beverages</v>
          </cell>
          <cell r="O430">
            <v>4.5</v>
          </cell>
        </row>
        <row r="431">
          <cell r="B431">
            <v>45499</v>
          </cell>
          <cell r="J431" t="str">
            <v>Groceries</v>
          </cell>
          <cell r="O431">
            <v>5.4</v>
          </cell>
        </row>
        <row r="432">
          <cell r="B432">
            <v>45606</v>
          </cell>
          <cell r="J432" t="str">
            <v>Groceries</v>
          </cell>
          <cell r="O432">
            <v>19.600000000000001</v>
          </cell>
        </row>
        <row r="433">
          <cell r="B433">
            <v>45397</v>
          </cell>
          <cell r="J433" t="str">
            <v>Traditional Food</v>
          </cell>
          <cell r="O433">
            <v>3.78</v>
          </cell>
        </row>
        <row r="434">
          <cell r="B434">
            <v>45566</v>
          </cell>
          <cell r="J434" t="str">
            <v>Traditional Food</v>
          </cell>
          <cell r="O434">
            <v>6</v>
          </cell>
        </row>
        <row r="435">
          <cell r="B435">
            <v>45635</v>
          </cell>
          <cell r="J435" t="str">
            <v>Traditional Food</v>
          </cell>
          <cell r="O435">
            <v>38.08</v>
          </cell>
        </row>
        <row r="436">
          <cell r="B436">
            <v>45592</v>
          </cell>
          <cell r="J436" t="str">
            <v>Groceries</v>
          </cell>
          <cell r="O436">
            <v>11.2</v>
          </cell>
        </row>
        <row r="437">
          <cell r="B437">
            <v>45606</v>
          </cell>
          <cell r="J437" t="str">
            <v>Beverages</v>
          </cell>
          <cell r="O437">
            <v>14.25</v>
          </cell>
        </row>
        <row r="438">
          <cell r="B438">
            <v>45448</v>
          </cell>
          <cell r="J438" t="str">
            <v>Traditional Food</v>
          </cell>
          <cell r="O438">
            <v>10</v>
          </cell>
        </row>
        <row r="439">
          <cell r="B439">
            <v>45506</v>
          </cell>
          <cell r="J439" t="str">
            <v>Dairy</v>
          </cell>
          <cell r="O439">
            <v>70</v>
          </cell>
        </row>
        <row r="440">
          <cell r="B440">
            <v>45617</v>
          </cell>
          <cell r="J440" t="str">
            <v>Beverages</v>
          </cell>
          <cell r="O440">
            <v>12.24</v>
          </cell>
        </row>
        <row r="441">
          <cell r="B441">
            <v>45542</v>
          </cell>
          <cell r="J441" t="str">
            <v>Beverages</v>
          </cell>
          <cell r="O441">
            <v>7.5</v>
          </cell>
        </row>
        <row r="442">
          <cell r="B442">
            <v>45475</v>
          </cell>
          <cell r="J442" t="str">
            <v>Groceries</v>
          </cell>
          <cell r="O442">
            <v>0.9</v>
          </cell>
        </row>
        <row r="443">
          <cell r="B443">
            <v>45501</v>
          </cell>
          <cell r="J443" t="str">
            <v>Groceries</v>
          </cell>
          <cell r="O443">
            <v>44.8</v>
          </cell>
        </row>
        <row r="444">
          <cell r="B444">
            <v>45334</v>
          </cell>
          <cell r="J444" t="str">
            <v>Dairy</v>
          </cell>
          <cell r="O444">
            <v>28.5</v>
          </cell>
        </row>
        <row r="445">
          <cell r="B445">
            <v>45432</v>
          </cell>
          <cell r="J445" t="str">
            <v>Handicrafts</v>
          </cell>
          <cell r="O445">
            <v>266</v>
          </cell>
        </row>
        <row r="446">
          <cell r="B446">
            <v>45573</v>
          </cell>
          <cell r="J446" t="str">
            <v>Groceries</v>
          </cell>
          <cell r="O446">
            <v>15.3</v>
          </cell>
        </row>
        <row r="447">
          <cell r="B447">
            <v>45569</v>
          </cell>
          <cell r="J447" t="str">
            <v>Groceries</v>
          </cell>
          <cell r="O447">
            <v>3.4</v>
          </cell>
        </row>
        <row r="448">
          <cell r="B448">
            <v>45344</v>
          </cell>
          <cell r="J448" t="str">
            <v>Beverages</v>
          </cell>
          <cell r="O448">
            <v>12</v>
          </cell>
        </row>
        <row r="449">
          <cell r="B449">
            <v>45470</v>
          </cell>
          <cell r="J449" t="str">
            <v>Groceries</v>
          </cell>
          <cell r="O449">
            <v>2.7</v>
          </cell>
        </row>
        <row r="450">
          <cell r="B450">
            <v>45593</v>
          </cell>
          <cell r="J450" t="str">
            <v>Beverages</v>
          </cell>
          <cell r="O450">
            <v>7.68</v>
          </cell>
        </row>
        <row r="451">
          <cell r="B451">
            <v>45607</v>
          </cell>
          <cell r="J451" t="str">
            <v>Groceries</v>
          </cell>
          <cell r="O451">
            <v>5.0999999999999996</v>
          </cell>
        </row>
        <row r="452">
          <cell r="B452">
            <v>45564</v>
          </cell>
          <cell r="J452" t="str">
            <v>Traditional Food</v>
          </cell>
          <cell r="O452">
            <v>4.2300000000000004</v>
          </cell>
        </row>
        <row r="453">
          <cell r="B453">
            <v>45585</v>
          </cell>
          <cell r="J453" t="str">
            <v>Handicrafts</v>
          </cell>
          <cell r="O453">
            <v>267.75</v>
          </cell>
        </row>
        <row r="454">
          <cell r="B454">
            <v>45502</v>
          </cell>
          <cell r="J454" t="str">
            <v>Traditional Food</v>
          </cell>
          <cell r="O454">
            <v>5</v>
          </cell>
        </row>
        <row r="455">
          <cell r="B455">
            <v>45366</v>
          </cell>
          <cell r="J455" t="str">
            <v>Beverages</v>
          </cell>
          <cell r="O455">
            <v>9.35</v>
          </cell>
        </row>
        <row r="456">
          <cell r="B456">
            <v>45364</v>
          </cell>
          <cell r="J456" t="str">
            <v>Groceries</v>
          </cell>
          <cell r="O456">
            <v>47.88</v>
          </cell>
        </row>
        <row r="457">
          <cell r="B457">
            <v>45330</v>
          </cell>
          <cell r="J457" t="str">
            <v>Groceries</v>
          </cell>
          <cell r="O457">
            <v>8.4</v>
          </cell>
        </row>
        <row r="458">
          <cell r="B458">
            <v>45541</v>
          </cell>
          <cell r="J458" t="str">
            <v>Handicrafts</v>
          </cell>
          <cell r="O458">
            <v>125.4</v>
          </cell>
        </row>
        <row r="459">
          <cell r="B459">
            <v>45617</v>
          </cell>
          <cell r="J459" t="str">
            <v>Traditional Food</v>
          </cell>
          <cell r="O459">
            <v>10.199999999999999</v>
          </cell>
        </row>
        <row r="460">
          <cell r="B460">
            <v>45511</v>
          </cell>
          <cell r="J460" t="str">
            <v>Groceries</v>
          </cell>
          <cell r="O460">
            <v>19.600000000000001</v>
          </cell>
        </row>
        <row r="461">
          <cell r="B461">
            <v>45572</v>
          </cell>
          <cell r="J461" t="str">
            <v>Handicrafts</v>
          </cell>
          <cell r="O461">
            <v>665</v>
          </cell>
        </row>
        <row r="462">
          <cell r="B462">
            <v>45315</v>
          </cell>
          <cell r="J462" t="str">
            <v>Handicrafts</v>
          </cell>
          <cell r="O462">
            <v>28.8</v>
          </cell>
        </row>
        <row r="463">
          <cell r="B463">
            <v>45372</v>
          </cell>
          <cell r="J463" t="str">
            <v>Traditional Food</v>
          </cell>
          <cell r="O463">
            <v>7.5</v>
          </cell>
        </row>
        <row r="464">
          <cell r="B464">
            <v>45644</v>
          </cell>
          <cell r="J464" t="str">
            <v>Groceries</v>
          </cell>
          <cell r="O464">
            <v>5.4</v>
          </cell>
        </row>
        <row r="465">
          <cell r="B465">
            <v>45627</v>
          </cell>
          <cell r="J465" t="str">
            <v>Clothing</v>
          </cell>
          <cell r="O465">
            <v>216</v>
          </cell>
        </row>
        <row r="466">
          <cell r="B466">
            <v>45494</v>
          </cell>
          <cell r="J466" t="str">
            <v>Beverages</v>
          </cell>
          <cell r="O466">
            <v>6.8</v>
          </cell>
        </row>
        <row r="467">
          <cell r="B467">
            <v>45652</v>
          </cell>
          <cell r="J467" t="str">
            <v>Groceries</v>
          </cell>
          <cell r="O467">
            <v>4.8</v>
          </cell>
        </row>
        <row r="468">
          <cell r="B468">
            <v>45557</v>
          </cell>
          <cell r="J468" t="str">
            <v>Beverages</v>
          </cell>
          <cell r="O468">
            <v>15</v>
          </cell>
        </row>
        <row r="469">
          <cell r="B469">
            <v>45647</v>
          </cell>
          <cell r="J469" t="str">
            <v>Traditional Food</v>
          </cell>
          <cell r="O469">
            <v>12.5</v>
          </cell>
        </row>
        <row r="470">
          <cell r="B470">
            <v>45344</v>
          </cell>
          <cell r="J470" t="str">
            <v>Traditional Food</v>
          </cell>
          <cell r="O470">
            <v>11</v>
          </cell>
        </row>
        <row r="471">
          <cell r="B471">
            <v>45620</v>
          </cell>
          <cell r="J471" t="str">
            <v>Groceries</v>
          </cell>
          <cell r="O471">
            <v>14</v>
          </cell>
        </row>
        <row r="472">
          <cell r="B472">
            <v>45471</v>
          </cell>
          <cell r="J472" t="str">
            <v>Beverages</v>
          </cell>
          <cell r="O472">
            <v>4.76</v>
          </cell>
        </row>
        <row r="473">
          <cell r="B473">
            <v>45403</v>
          </cell>
          <cell r="J473" t="str">
            <v>Groceries</v>
          </cell>
          <cell r="O473">
            <v>3.6</v>
          </cell>
        </row>
        <row r="474">
          <cell r="B474">
            <v>45511</v>
          </cell>
          <cell r="J474" t="str">
            <v>Groceries</v>
          </cell>
          <cell r="O474">
            <v>26.18</v>
          </cell>
        </row>
        <row r="475">
          <cell r="B475">
            <v>45575</v>
          </cell>
          <cell r="J475" t="str">
            <v>Traditional Food</v>
          </cell>
          <cell r="O475">
            <v>19</v>
          </cell>
        </row>
        <row r="476">
          <cell r="B476">
            <v>45397</v>
          </cell>
          <cell r="J476" t="str">
            <v>Traditional Food</v>
          </cell>
          <cell r="O476">
            <v>7.99</v>
          </cell>
        </row>
        <row r="477">
          <cell r="B477">
            <v>45622</v>
          </cell>
          <cell r="J477" t="str">
            <v>Groceries</v>
          </cell>
          <cell r="O477">
            <v>4.76</v>
          </cell>
        </row>
        <row r="478">
          <cell r="B478">
            <v>45489</v>
          </cell>
          <cell r="J478" t="str">
            <v>Beverages</v>
          </cell>
          <cell r="O478">
            <v>3</v>
          </cell>
        </row>
        <row r="479">
          <cell r="B479">
            <v>45476</v>
          </cell>
          <cell r="J479" t="str">
            <v>Traditional Food</v>
          </cell>
          <cell r="O479">
            <v>11</v>
          </cell>
        </row>
        <row r="480">
          <cell r="B480">
            <v>45571</v>
          </cell>
          <cell r="J480" t="str">
            <v>Groceries</v>
          </cell>
          <cell r="O480">
            <v>6.12</v>
          </cell>
        </row>
        <row r="481">
          <cell r="B481">
            <v>45592</v>
          </cell>
          <cell r="J481" t="str">
            <v>Traditional Food</v>
          </cell>
          <cell r="O481">
            <v>3</v>
          </cell>
        </row>
        <row r="482">
          <cell r="B482">
            <v>45551</v>
          </cell>
          <cell r="J482" t="str">
            <v>Traditional Food</v>
          </cell>
          <cell r="O482">
            <v>4.5</v>
          </cell>
        </row>
        <row r="483">
          <cell r="B483">
            <v>45651</v>
          </cell>
          <cell r="J483" t="str">
            <v>Groceries</v>
          </cell>
          <cell r="O483">
            <v>15.6</v>
          </cell>
        </row>
        <row r="484">
          <cell r="B484">
            <v>45334</v>
          </cell>
          <cell r="J484" t="str">
            <v>Beverages</v>
          </cell>
          <cell r="O484">
            <v>10</v>
          </cell>
        </row>
        <row r="485">
          <cell r="B485">
            <v>45492</v>
          </cell>
          <cell r="J485" t="str">
            <v>Beverages</v>
          </cell>
          <cell r="O485">
            <v>17.100000000000001</v>
          </cell>
        </row>
        <row r="486">
          <cell r="B486">
            <v>45649</v>
          </cell>
          <cell r="J486" t="str">
            <v>Traditional Food</v>
          </cell>
          <cell r="O486">
            <v>12.6</v>
          </cell>
        </row>
        <row r="487">
          <cell r="B487">
            <v>45336</v>
          </cell>
          <cell r="J487" t="str">
            <v>Traditional Food</v>
          </cell>
          <cell r="O487">
            <v>7</v>
          </cell>
        </row>
        <row r="488">
          <cell r="B488">
            <v>45633</v>
          </cell>
          <cell r="J488" t="str">
            <v>Traditional Food</v>
          </cell>
          <cell r="O488">
            <v>3</v>
          </cell>
        </row>
        <row r="489">
          <cell r="B489">
            <v>45546</v>
          </cell>
          <cell r="J489" t="str">
            <v>Traditional Food</v>
          </cell>
          <cell r="O489">
            <v>5.64</v>
          </cell>
        </row>
        <row r="490">
          <cell r="B490">
            <v>45482</v>
          </cell>
          <cell r="J490" t="str">
            <v>Clothing</v>
          </cell>
          <cell r="O490">
            <v>81</v>
          </cell>
        </row>
        <row r="491">
          <cell r="B491">
            <v>45463</v>
          </cell>
          <cell r="J491" t="str">
            <v>Traditional Food</v>
          </cell>
          <cell r="O491">
            <v>35</v>
          </cell>
        </row>
        <row r="492">
          <cell r="B492">
            <v>45525</v>
          </cell>
          <cell r="J492" t="str">
            <v>Traditional Food</v>
          </cell>
          <cell r="O492">
            <v>17</v>
          </cell>
        </row>
        <row r="493">
          <cell r="B493">
            <v>45372</v>
          </cell>
          <cell r="J493" t="str">
            <v>Beverages</v>
          </cell>
          <cell r="O493">
            <v>5.76</v>
          </cell>
        </row>
        <row r="494">
          <cell r="B494">
            <v>45552</v>
          </cell>
          <cell r="J494" t="str">
            <v>Traditional Food</v>
          </cell>
          <cell r="O494">
            <v>2.5</v>
          </cell>
        </row>
        <row r="495">
          <cell r="B495">
            <v>45533</v>
          </cell>
          <cell r="J495" t="str">
            <v>Beverages</v>
          </cell>
          <cell r="O495">
            <v>9</v>
          </cell>
        </row>
        <row r="496">
          <cell r="B496">
            <v>45406</v>
          </cell>
          <cell r="J496" t="str">
            <v>Traditional Food</v>
          </cell>
          <cell r="O496">
            <v>5.5</v>
          </cell>
        </row>
        <row r="497">
          <cell r="B497">
            <v>45331</v>
          </cell>
          <cell r="J497" t="str">
            <v>Handicrafts</v>
          </cell>
          <cell r="O497">
            <v>152</v>
          </cell>
        </row>
        <row r="498">
          <cell r="B498">
            <v>45406</v>
          </cell>
          <cell r="J498" t="str">
            <v>Traditional Food</v>
          </cell>
          <cell r="O498">
            <v>8.5</v>
          </cell>
        </row>
        <row r="499">
          <cell r="B499">
            <v>45451</v>
          </cell>
          <cell r="J499" t="str">
            <v>Groceries</v>
          </cell>
          <cell r="O499">
            <v>9.9</v>
          </cell>
        </row>
        <row r="500">
          <cell r="B500">
            <v>45441</v>
          </cell>
          <cell r="J500" t="str">
            <v>Handicrafts</v>
          </cell>
          <cell r="O500">
            <v>193.8</v>
          </cell>
        </row>
        <row r="501">
          <cell r="B501">
            <v>45480</v>
          </cell>
          <cell r="J501" t="str">
            <v>Beverages</v>
          </cell>
          <cell r="O501">
            <v>14.25</v>
          </cell>
        </row>
        <row r="502">
          <cell r="B502">
            <v>45369</v>
          </cell>
          <cell r="J502" t="str">
            <v>Beverages</v>
          </cell>
          <cell r="O502">
            <v>1.5</v>
          </cell>
        </row>
        <row r="503">
          <cell r="B503">
            <v>45463</v>
          </cell>
          <cell r="J503" t="str">
            <v>Handicrafts</v>
          </cell>
          <cell r="O503">
            <v>10.199999999999999</v>
          </cell>
        </row>
        <row r="504">
          <cell r="B504">
            <v>45397</v>
          </cell>
          <cell r="J504" t="str">
            <v>Handicrafts</v>
          </cell>
          <cell r="O504">
            <v>595</v>
          </cell>
        </row>
        <row r="505">
          <cell r="B505">
            <v>45656</v>
          </cell>
          <cell r="J505" t="str">
            <v>Traditional Food</v>
          </cell>
          <cell r="O505">
            <v>4.5</v>
          </cell>
        </row>
        <row r="506">
          <cell r="B506">
            <v>45650</v>
          </cell>
          <cell r="J506" t="str">
            <v>Dairy</v>
          </cell>
          <cell r="O506">
            <v>42</v>
          </cell>
        </row>
        <row r="507">
          <cell r="B507">
            <v>45618</v>
          </cell>
          <cell r="J507" t="str">
            <v>Traditional Food</v>
          </cell>
          <cell r="O507">
            <v>32.5</v>
          </cell>
        </row>
        <row r="508">
          <cell r="B508">
            <v>45413</v>
          </cell>
          <cell r="J508" t="str">
            <v>Groceries</v>
          </cell>
          <cell r="O508">
            <v>12</v>
          </cell>
        </row>
        <row r="509">
          <cell r="B509">
            <v>45454</v>
          </cell>
          <cell r="J509" t="str">
            <v>Groceries</v>
          </cell>
          <cell r="O509">
            <v>42</v>
          </cell>
        </row>
        <row r="510">
          <cell r="B510">
            <v>45591</v>
          </cell>
          <cell r="J510" t="str">
            <v>Beverages</v>
          </cell>
          <cell r="O510">
            <v>6</v>
          </cell>
        </row>
        <row r="511">
          <cell r="B511">
            <v>45500</v>
          </cell>
          <cell r="J511" t="str">
            <v>Groceries</v>
          </cell>
          <cell r="O511">
            <v>3.4</v>
          </cell>
        </row>
        <row r="512">
          <cell r="B512">
            <v>45449</v>
          </cell>
          <cell r="J512" t="str">
            <v>Beverages</v>
          </cell>
          <cell r="O512">
            <v>22.5</v>
          </cell>
        </row>
        <row r="513">
          <cell r="B513">
            <v>45652</v>
          </cell>
          <cell r="J513" t="str">
            <v>Beverages</v>
          </cell>
          <cell r="O513">
            <v>15</v>
          </cell>
        </row>
        <row r="514">
          <cell r="B514">
            <v>45338</v>
          </cell>
          <cell r="J514" t="str">
            <v>Handicrafts</v>
          </cell>
          <cell r="O514">
            <v>64</v>
          </cell>
        </row>
        <row r="515">
          <cell r="B515">
            <v>45381</v>
          </cell>
          <cell r="J515" t="str">
            <v>Handicrafts</v>
          </cell>
          <cell r="O515">
            <v>35</v>
          </cell>
        </row>
        <row r="516">
          <cell r="B516">
            <v>45340</v>
          </cell>
          <cell r="J516" t="str">
            <v>Groceries</v>
          </cell>
          <cell r="O516">
            <v>30</v>
          </cell>
        </row>
        <row r="517">
          <cell r="B517">
            <v>45323</v>
          </cell>
          <cell r="J517" t="str">
            <v>Traditional Food</v>
          </cell>
          <cell r="O517">
            <v>20</v>
          </cell>
        </row>
        <row r="518">
          <cell r="B518">
            <v>45590</v>
          </cell>
          <cell r="J518" t="str">
            <v>Handicrafts</v>
          </cell>
          <cell r="O518">
            <v>228</v>
          </cell>
        </row>
        <row r="519">
          <cell r="B519">
            <v>45393</v>
          </cell>
          <cell r="J519" t="str">
            <v>Traditional Food</v>
          </cell>
          <cell r="O519">
            <v>6.3</v>
          </cell>
        </row>
        <row r="520">
          <cell r="B520">
            <v>45313</v>
          </cell>
          <cell r="J520" t="str">
            <v>Handicrafts</v>
          </cell>
          <cell r="O520">
            <v>120</v>
          </cell>
        </row>
        <row r="521">
          <cell r="B521">
            <v>45546</v>
          </cell>
          <cell r="J521" t="str">
            <v>Groceries</v>
          </cell>
          <cell r="O521">
            <v>1.2</v>
          </cell>
        </row>
        <row r="522">
          <cell r="B522">
            <v>45387</v>
          </cell>
          <cell r="J522" t="str">
            <v>Handicrafts</v>
          </cell>
          <cell r="O522">
            <v>108</v>
          </cell>
        </row>
        <row r="523">
          <cell r="B523">
            <v>45623</v>
          </cell>
          <cell r="J523" t="str">
            <v>Traditional Food</v>
          </cell>
          <cell r="O523">
            <v>5</v>
          </cell>
        </row>
        <row r="524">
          <cell r="B524">
            <v>45336</v>
          </cell>
          <cell r="J524" t="str">
            <v>Dairy</v>
          </cell>
          <cell r="O524">
            <v>13.5</v>
          </cell>
        </row>
        <row r="525">
          <cell r="B525">
            <v>45614</v>
          </cell>
          <cell r="J525" t="str">
            <v>Dairy</v>
          </cell>
          <cell r="O525">
            <v>53.64</v>
          </cell>
        </row>
        <row r="526">
          <cell r="B526">
            <v>45570</v>
          </cell>
          <cell r="J526" t="str">
            <v>Handicrafts</v>
          </cell>
          <cell r="O526">
            <v>192</v>
          </cell>
        </row>
        <row r="527">
          <cell r="B527">
            <v>45430</v>
          </cell>
          <cell r="J527" t="str">
            <v>Handicrafts</v>
          </cell>
          <cell r="O527">
            <v>48</v>
          </cell>
        </row>
        <row r="528">
          <cell r="B528">
            <v>45321</v>
          </cell>
          <cell r="J528" t="str">
            <v>Traditional Food</v>
          </cell>
          <cell r="O528">
            <v>7.52</v>
          </cell>
        </row>
        <row r="529">
          <cell r="B529">
            <v>45343</v>
          </cell>
          <cell r="J529" t="str">
            <v>Beverages</v>
          </cell>
          <cell r="O529">
            <v>5.44</v>
          </cell>
        </row>
        <row r="530">
          <cell r="B530">
            <v>45586</v>
          </cell>
          <cell r="J530" t="str">
            <v>Traditional Food</v>
          </cell>
          <cell r="O530">
            <v>6.5</v>
          </cell>
        </row>
        <row r="531">
          <cell r="B531">
            <v>45413</v>
          </cell>
          <cell r="J531" t="str">
            <v>Beverages</v>
          </cell>
          <cell r="O531">
            <v>14.25</v>
          </cell>
        </row>
        <row r="532">
          <cell r="B532">
            <v>45652</v>
          </cell>
          <cell r="J532" t="str">
            <v>Handicrafts</v>
          </cell>
          <cell r="O532">
            <v>136.80000000000001</v>
          </cell>
        </row>
        <row r="533">
          <cell r="B533">
            <v>45569</v>
          </cell>
          <cell r="J533" t="str">
            <v>Beverages</v>
          </cell>
          <cell r="O533">
            <v>15</v>
          </cell>
        </row>
        <row r="534">
          <cell r="B534">
            <v>45600</v>
          </cell>
          <cell r="J534" t="str">
            <v>Traditional Food</v>
          </cell>
          <cell r="O534">
            <v>4</v>
          </cell>
        </row>
        <row r="535">
          <cell r="B535">
            <v>45358</v>
          </cell>
          <cell r="J535" t="str">
            <v>Handicrafts</v>
          </cell>
          <cell r="O535">
            <v>79.2</v>
          </cell>
        </row>
        <row r="536">
          <cell r="B536">
            <v>45303</v>
          </cell>
          <cell r="J536" t="str">
            <v>Handicrafts</v>
          </cell>
          <cell r="O536">
            <v>38</v>
          </cell>
        </row>
        <row r="537">
          <cell r="B537">
            <v>45329</v>
          </cell>
          <cell r="J537" t="str">
            <v>Traditional Food</v>
          </cell>
          <cell r="O537">
            <v>27</v>
          </cell>
        </row>
        <row r="538">
          <cell r="B538">
            <v>45446</v>
          </cell>
          <cell r="J538" t="str">
            <v>Traditional Food</v>
          </cell>
          <cell r="O538">
            <v>27.5</v>
          </cell>
        </row>
        <row r="539">
          <cell r="B539">
            <v>45624</v>
          </cell>
          <cell r="J539" t="str">
            <v>Groceries</v>
          </cell>
          <cell r="O539">
            <v>13.2</v>
          </cell>
        </row>
        <row r="540">
          <cell r="B540">
            <v>45632</v>
          </cell>
          <cell r="J540" t="str">
            <v>Handicrafts</v>
          </cell>
          <cell r="O540">
            <v>193.8</v>
          </cell>
        </row>
        <row r="541">
          <cell r="B541">
            <v>45382</v>
          </cell>
          <cell r="J541" t="str">
            <v>Handicrafts</v>
          </cell>
          <cell r="O541">
            <v>31.5</v>
          </cell>
        </row>
        <row r="542">
          <cell r="B542">
            <v>45600</v>
          </cell>
          <cell r="J542" t="str">
            <v>Traditional Food</v>
          </cell>
          <cell r="O542">
            <v>4.62</v>
          </cell>
        </row>
        <row r="543">
          <cell r="B543">
            <v>45364</v>
          </cell>
          <cell r="J543" t="str">
            <v>Traditional Food</v>
          </cell>
          <cell r="O543">
            <v>24.75</v>
          </cell>
        </row>
        <row r="544">
          <cell r="B544">
            <v>45617</v>
          </cell>
          <cell r="J544" t="str">
            <v>Handicrafts</v>
          </cell>
          <cell r="O544">
            <v>20.399999999999999</v>
          </cell>
        </row>
        <row r="545">
          <cell r="B545">
            <v>45297</v>
          </cell>
          <cell r="J545" t="str">
            <v>Handicrafts</v>
          </cell>
          <cell r="O545">
            <v>72</v>
          </cell>
        </row>
        <row r="546">
          <cell r="B546">
            <v>45347</v>
          </cell>
          <cell r="J546" t="str">
            <v>Handicrafts</v>
          </cell>
          <cell r="O546">
            <v>12</v>
          </cell>
        </row>
        <row r="547">
          <cell r="B547">
            <v>45503</v>
          </cell>
          <cell r="J547" t="str">
            <v>Groceries</v>
          </cell>
          <cell r="O547">
            <v>19.2</v>
          </cell>
        </row>
        <row r="548">
          <cell r="B548">
            <v>45587</v>
          </cell>
          <cell r="J548" t="str">
            <v>Traditional Food</v>
          </cell>
          <cell r="O548">
            <v>20</v>
          </cell>
        </row>
        <row r="549">
          <cell r="B549">
            <v>45302</v>
          </cell>
          <cell r="J549" t="str">
            <v>Traditional Food</v>
          </cell>
          <cell r="O549">
            <v>5.5</v>
          </cell>
        </row>
        <row r="550">
          <cell r="B550">
            <v>45484</v>
          </cell>
          <cell r="J550" t="str">
            <v>Handicrafts</v>
          </cell>
          <cell r="O550">
            <v>43.2</v>
          </cell>
        </row>
        <row r="551">
          <cell r="B551">
            <v>45596</v>
          </cell>
          <cell r="J551" t="str">
            <v>Traditional Food</v>
          </cell>
          <cell r="O551">
            <v>20</v>
          </cell>
        </row>
        <row r="552">
          <cell r="B552">
            <v>45372</v>
          </cell>
          <cell r="J552" t="str">
            <v>Beverages</v>
          </cell>
          <cell r="O552">
            <v>1.5</v>
          </cell>
        </row>
        <row r="553">
          <cell r="B553">
            <v>45648</v>
          </cell>
          <cell r="J553" t="str">
            <v>Beverages</v>
          </cell>
          <cell r="O553">
            <v>24.3</v>
          </cell>
        </row>
        <row r="554">
          <cell r="B554">
            <v>45444</v>
          </cell>
          <cell r="J554" t="str">
            <v>Clothing</v>
          </cell>
          <cell r="O554">
            <v>144</v>
          </cell>
        </row>
        <row r="555">
          <cell r="B555">
            <v>45370</v>
          </cell>
          <cell r="J555" t="str">
            <v>Groceries</v>
          </cell>
          <cell r="O555">
            <v>4</v>
          </cell>
        </row>
        <row r="556">
          <cell r="B556">
            <v>45394</v>
          </cell>
          <cell r="J556" t="str">
            <v>Handicrafts</v>
          </cell>
          <cell r="O556">
            <v>140</v>
          </cell>
        </row>
        <row r="557">
          <cell r="B557">
            <v>45534</v>
          </cell>
          <cell r="J557" t="str">
            <v>Handicrafts</v>
          </cell>
          <cell r="O557">
            <v>140</v>
          </cell>
        </row>
        <row r="558">
          <cell r="B558">
            <v>45338</v>
          </cell>
          <cell r="J558" t="str">
            <v>Dairy</v>
          </cell>
          <cell r="O558">
            <v>27</v>
          </cell>
        </row>
        <row r="559">
          <cell r="B559">
            <v>45387</v>
          </cell>
          <cell r="J559" t="str">
            <v>Groceries</v>
          </cell>
          <cell r="O559">
            <v>42</v>
          </cell>
        </row>
        <row r="560">
          <cell r="B560">
            <v>45429</v>
          </cell>
          <cell r="J560" t="str">
            <v>Clothing</v>
          </cell>
          <cell r="O560">
            <v>342</v>
          </cell>
        </row>
        <row r="561">
          <cell r="B561">
            <v>45634</v>
          </cell>
          <cell r="J561" t="str">
            <v>Traditional Food</v>
          </cell>
          <cell r="O561">
            <v>25.44</v>
          </cell>
        </row>
        <row r="562">
          <cell r="B562">
            <v>45490</v>
          </cell>
          <cell r="J562" t="str">
            <v>Beverages</v>
          </cell>
          <cell r="O562">
            <v>12.75</v>
          </cell>
        </row>
        <row r="563">
          <cell r="B563">
            <v>45535</v>
          </cell>
          <cell r="J563" t="str">
            <v>Dairy</v>
          </cell>
          <cell r="O563">
            <v>15</v>
          </cell>
        </row>
        <row r="564">
          <cell r="B564">
            <v>45353</v>
          </cell>
          <cell r="J564" t="str">
            <v>Traditional Food</v>
          </cell>
          <cell r="O564">
            <v>7.5</v>
          </cell>
        </row>
        <row r="565">
          <cell r="B565">
            <v>45356</v>
          </cell>
          <cell r="J565" t="str">
            <v>Beverages</v>
          </cell>
          <cell r="O565">
            <v>3</v>
          </cell>
        </row>
        <row r="566">
          <cell r="B566">
            <v>45613</v>
          </cell>
          <cell r="J566" t="str">
            <v>Groceries</v>
          </cell>
          <cell r="O566">
            <v>5.0999999999999996</v>
          </cell>
        </row>
        <row r="567">
          <cell r="B567">
            <v>45490</v>
          </cell>
          <cell r="J567" t="str">
            <v>Traditional Food</v>
          </cell>
          <cell r="O567">
            <v>18</v>
          </cell>
        </row>
        <row r="568">
          <cell r="B568">
            <v>45298</v>
          </cell>
          <cell r="J568" t="str">
            <v>Clothing</v>
          </cell>
          <cell r="O568">
            <v>342</v>
          </cell>
        </row>
        <row r="569">
          <cell r="B569">
            <v>45368</v>
          </cell>
          <cell r="J569" t="str">
            <v>Traditional Food</v>
          </cell>
          <cell r="O569">
            <v>11.9</v>
          </cell>
        </row>
        <row r="570">
          <cell r="B570">
            <v>45580</v>
          </cell>
          <cell r="J570" t="str">
            <v>Traditional Food</v>
          </cell>
          <cell r="O570">
            <v>8.48</v>
          </cell>
        </row>
        <row r="571">
          <cell r="B571">
            <v>45427</v>
          </cell>
          <cell r="J571" t="str">
            <v>Handicrafts</v>
          </cell>
          <cell r="O571">
            <v>140.4</v>
          </cell>
        </row>
        <row r="572">
          <cell r="B572">
            <v>45380</v>
          </cell>
          <cell r="J572" t="str">
            <v>Dairy</v>
          </cell>
          <cell r="O572">
            <v>13.5</v>
          </cell>
        </row>
        <row r="573">
          <cell r="B573">
            <v>45494</v>
          </cell>
          <cell r="J573" t="str">
            <v>Groceries</v>
          </cell>
          <cell r="O573">
            <v>27.72</v>
          </cell>
        </row>
        <row r="574">
          <cell r="B574">
            <v>45482</v>
          </cell>
          <cell r="J574" t="str">
            <v>Dairy</v>
          </cell>
          <cell r="O574">
            <v>1.5</v>
          </cell>
        </row>
        <row r="575">
          <cell r="B575">
            <v>45543</v>
          </cell>
          <cell r="J575" t="str">
            <v>Handicrafts</v>
          </cell>
          <cell r="O575">
            <v>119</v>
          </cell>
        </row>
        <row r="576">
          <cell r="B576">
            <v>45429</v>
          </cell>
          <cell r="J576" t="str">
            <v>Groceries</v>
          </cell>
          <cell r="O576">
            <v>11.9</v>
          </cell>
        </row>
        <row r="577">
          <cell r="B577">
            <v>45500</v>
          </cell>
          <cell r="J577" t="str">
            <v>Groceries</v>
          </cell>
          <cell r="O577">
            <v>12.32</v>
          </cell>
        </row>
        <row r="578">
          <cell r="B578">
            <v>45325</v>
          </cell>
          <cell r="J578" t="str">
            <v>Traditional Food</v>
          </cell>
          <cell r="O578">
            <v>4.5</v>
          </cell>
        </row>
        <row r="579">
          <cell r="B579">
            <v>45380</v>
          </cell>
          <cell r="J579" t="str">
            <v>Dairy</v>
          </cell>
          <cell r="O579">
            <v>20.86</v>
          </cell>
        </row>
        <row r="580">
          <cell r="B580">
            <v>45525</v>
          </cell>
          <cell r="J580" t="str">
            <v>Beverages</v>
          </cell>
          <cell r="O580">
            <v>1.5</v>
          </cell>
        </row>
        <row r="581">
          <cell r="B581">
            <v>45550</v>
          </cell>
          <cell r="J581" t="str">
            <v>Handicrafts</v>
          </cell>
          <cell r="O581">
            <v>140.4</v>
          </cell>
        </row>
        <row r="582">
          <cell r="B582">
            <v>45482</v>
          </cell>
          <cell r="J582" t="str">
            <v>Traditional Food</v>
          </cell>
          <cell r="O582">
            <v>7.52</v>
          </cell>
        </row>
        <row r="583">
          <cell r="B583">
            <v>45468</v>
          </cell>
          <cell r="J583" t="str">
            <v>Dairy</v>
          </cell>
          <cell r="O583">
            <v>7.62</v>
          </cell>
        </row>
        <row r="584">
          <cell r="B584">
            <v>45306</v>
          </cell>
          <cell r="J584" t="str">
            <v>Traditional Food</v>
          </cell>
          <cell r="O584">
            <v>13</v>
          </cell>
        </row>
        <row r="585">
          <cell r="B585">
            <v>45623</v>
          </cell>
          <cell r="J585" t="str">
            <v>Beverages</v>
          </cell>
          <cell r="O585">
            <v>10.8</v>
          </cell>
        </row>
        <row r="586">
          <cell r="B586">
            <v>45641</v>
          </cell>
          <cell r="J586" t="str">
            <v>Groceries</v>
          </cell>
          <cell r="O586">
            <v>1.2</v>
          </cell>
        </row>
        <row r="587">
          <cell r="B587">
            <v>45406</v>
          </cell>
          <cell r="J587" t="str">
            <v>Beverages</v>
          </cell>
          <cell r="O587">
            <v>6.39</v>
          </cell>
        </row>
        <row r="588">
          <cell r="B588">
            <v>45484</v>
          </cell>
          <cell r="J588" t="str">
            <v>Clothing</v>
          </cell>
          <cell r="O588">
            <v>216</v>
          </cell>
        </row>
        <row r="589">
          <cell r="B589">
            <v>45591</v>
          </cell>
          <cell r="J589" t="str">
            <v>Handicrafts</v>
          </cell>
          <cell r="O589">
            <v>140</v>
          </cell>
        </row>
        <row r="590">
          <cell r="B590">
            <v>45444</v>
          </cell>
          <cell r="J590" t="str">
            <v>Handicrafts</v>
          </cell>
          <cell r="O590">
            <v>48</v>
          </cell>
        </row>
        <row r="591">
          <cell r="B591">
            <v>45425</v>
          </cell>
          <cell r="J591" t="str">
            <v>Handicrafts</v>
          </cell>
          <cell r="O591">
            <v>80</v>
          </cell>
        </row>
        <row r="592">
          <cell r="B592">
            <v>45599</v>
          </cell>
          <cell r="J592" t="str">
            <v>Beverages</v>
          </cell>
          <cell r="O592">
            <v>8.84</v>
          </cell>
        </row>
        <row r="593">
          <cell r="B593">
            <v>45443</v>
          </cell>
          <cell r="J593" t="str">
            <v>Traditional Food</v>
          </cell>
          <cell r="O593">
            <v>4.5</v>
          </cell>
        </row>
        <row r="594">
          <cell r="B594">
            <v>45467</v>
          </cell>
          <cell r="J594" t="str">
            <v>Traditional Food</v>
          </cell>
          <cell r="O594">
            <v>3.6</v>
          </cell>
        </row>
        <row r="595">
          <cell r="B595">
            <v>45551</v>
          </cell>
          <cell r="J595" t="str">
            <v>Dairy</v>
          </cell>
          <cell r="O595">
            <v>12.7</v>
          </cell>
        </row>
        <row r="596">
          <cell r="B596">
            <v>45442</v>
          </cell>
          <cell r="J596" t="str">
            <v>Groceries</v>
          </cell>
          <cell r="O596">
            <v>8</v>
          </cell>
        </row>
        <row r="597">
          <cell r="B597">
            <v>45640</v>
          </cell>
          <cell r="J597" t="str">
            <v>Groceries</v>
          </cell>
          <cell r="O597">
            <v>19.8</v>
          </cell>
        </row>
        <row r="598">
          <cell r="B598">
            <v>45507</v>
          </cell>
          <cell r="J598" t="str">
            <v>Beverages</v>
          </cell>
          <cell r="O598">
            <v>8.25</v>
          </cell>
        </row>
        <row r="599">
          <cell r="B599">
            <v>45532</v>
          </cell>
          <cell r="J599" t="str">
            <v>Groceries</v>
          </cell>
          <cell r="O599">
            <v>1.54</v>
          </cell>
        </row>
        <row r="600">
          <cell r="B600">
            <v>45391</v>
          </cell>
          <cell r="J600" t="str">
            <v>Traditional Food</v>
          </cell>
          <cell r="O600">
            <v>17</v>
          </cell>
        </row>
        <row r="601">
          <cell r="B601">
            <v>45503</v>
          </cell>
          <cell r="J601" t="str">
            <v>Dairy</v>
          </cell>
          <cell r="O601">
            <v>5.96</v>
          </cell>
        </row>
        <row r="602">
          <cell r="B602">
            <v>45501</v>
          </cell>
          <cell r="J602" t="str">
            <v>Beverages</v>
          </cell>
          <cell r="O602">
            <v>28.5</v>
          </cell>
        </row>
        <row r="603">
          <cell r="B603">
            <v>45541</v>
          </cell>
          <cell r="J603" t="str">
            <v>Beverages</v>
          </cell>
          <cell r="O603">
            <v>7.48</v>
          </cell>
        </row>
        <row r="604">
          <cell r="B604">
            <v>45523</v>
          </cell>
          <cell r="J604" t="str">
            <v>Traditional Food</v>
          </cell>
          <cell r="O604">
            <v>4.5</v>
          </cell>
        </row>
        <row r="605">
          <cell r="B605">
            <v>45337</v>
          </cell>
          <cell r="J605" t="str">
            <v>Beverages</v>
          </cell>
          <cell r="O605">
            <v>3.55</v>
          </cell>
        </row>
        <row r="606">
          <cell r="B606">
            <v>45536</v>
          </cell>
          <cell r="J606" t="str">
            <v>Groceries</v>
          </cell>
          <cell r="O606">
            <v>36.4</v>
          </cell>
        </row>
        <row r="607">
          <cell r="B607">
            <v>45456</v>
          </cell>
          <cell r="J607" t="str">
            <v>Handicrafts</v>
          </cell>
          <cell r="O607">
            <v>204</v>
          </cell>
        </row>
        <row r="608">
          <cell r="B608">
            <v>45647</v>
          </cell>
          <cell r="J608" t="str">
            <v>Beverages</v>
          </cell>
          <cell r="O608">
            <v>9</v>
          </cell>
        </row>
        <row r="609">
          <cell r="B609">
            <v>45377</v>
          </cell>
          <cell r="J609" t="str">
            <v>Dairy</v>
          </cell>
          <cell r="O609">
            <v>8.94</v>
          </cell>
        </row>
        <row r="610">
          <cell r="B610">
            <v>45558</v>
          </cell>
          <cell r="J610" t="str">
            <v>Handicrafts</v>
          </cell>
          <cell r="O610">
            <v>665</v>
          </cell>
        </row>
        <row r="611">
          <cell r="B611">
            <v>45542</v>
          </cell>
          <cell r="J611" t="str">
            <v>Beverages</v>
          </cell>
          <cell r="O611">
            <v>10.199999999999999</v>
          </cell>
        </row>
        <row r="612">
          <cell r="B612">
            <v>45408</v>
          </cell>
          <cell r="J612" t="str">
            <v>Groceries</v>
          </cell>
          <cell r="O612">
            <v>20.16</v>
          </cell>
        </row>
        <row r="613">
          <cell r="B613">
            <v>45355</v>
          </cell>
          <cell r="J613" t="str">
            <v>Traditional Food</v>
          </cell>
          <cell r="O613">
            <v>5.4</v>
          </cell>
        </row>
        <row r="614">
          <cell r="B614">
            <v>45565</v>
          </cell>
          <cell r="J614" t="str">
            <v>Groceries</v>
          </cell>
          <cell r="O614">
            <v>56</v>
          </cell>
        </row>
        <row r="615">
          <cell r="B615">
            <v>45316</v>
          </cell>
          <cell r="J615" t="str">
            <v>Traditional Food</v>
          </cell>
          <cell r="O615">
            <v>10</v>
          </cell>
        </row>
        <row r="616">
          <cell r="B616">
            <v>45534</v>
          </cell>
          <cell r="J616" t="str">
            <v>Groceries</v>
          </cell>
          <cell r="O616">
            <v>10</v>
          </cell>
        </row>
        <row r="617">
          <cell r="B617">
            <v>45507</v>
          </cell>
          <cell r="J617" t="str">
            <v>Traditional Food</v>
          </cell>
          <cell r="O617">
            <v>1.8</v>
          </cell>
        </row>
        <row r="618">
          <cell r="B618">
            <v>45345</v>
          </cell>
          <cell r="J618" t="str">
            <v>Beverages</v>
          </cell>
          <cell r="O618">
            <v>15.3</v>
          </cell>
        </row>
        <row r="619">
          <cell r="B619">
            <v>45546</v>
          </cell>
          <cell r="J619" t="str">
            <v>Traditional Food</v>
          </cell>
          <cell r="O619">
            <v>16.66</v>
          </cell>
        </row>
        <row r="620">
          <cell r="B620">
            <v>45475</v>
          </cell>
          <cell r="J620" t="str">
            <v>Dairy</v>
          </cell>
          <cell r="O620">
            <v>49</v>
          </cell>
        </row>
        <row r="621">
          <cell r="B621">
            <v>45644</v>
          </cell>
          <cell r="J621" t="str">
            <v>Dairy</v>
          </cell>
          <cell r="O621">
            <v>24</v>
          </cell>
        </row>
        <row r="622">
          <cell r="B622">
            <v>45585</v>
          </cell>
          <cell r="J622" t="str">
            <v>Traditional Food</v>
          </cell>
          <cell r="O622">
            <v>16</v>
          </cell>
        </row>
        <row r="623">
          <cell r="B623">
            <v>45343</v>
          </cell>
          <cell r="J623" t="str">
            <v>Dairy</v>
          </cell>
          <cell r="O623">
            <v>28.35</v>
          </cell>
        </row>
        <row r="624">
          <cell r="B624">
            <v>45317</v>
          </cell>
          <cell r="J624" t="str">
            <v>Clothing</v>
          </cell>
          <cell r="O624">
            <v>61.2</v>
          </cell>
        </row>
        <row r="625">
          <cell r="B625">
            <v>45638</v>
          </cell>
          <cell r="J625" t="str">
            <v>Handicrafts</v>
          </cell>
          <cell r="O625">
            <v>385</v>
          </cell>
        </row>
        <row r="626">
          <cell r="B626">
            <v>45362</v>
          </cell>
          <cell r="J626" t="str">
            <v>Traditional Food</v>
          </cell>
          <cell r="O626">
            <v>3</v>
          </cell>
        </row>
        <row r="627">
          <cell r="B627">
            <v>45482</v>
          </cell>
          <cell r="J627" t="str">
            <v>Clothing</v>
          </cell>
          <cell r="O627">
            <v>198</v>
          </cell>
        </row>
        <row r="628">
          <cell r="B628">
            <v>45489</v>
          </cell>
          <cell r="J628" t="str">
            <v>Groceries</v>
          </cell>
          <cell r="O628">
            <v>12.32</v>
          </cell>
        </row>
        <row r="629">
          <cell r="B629">
            <v>45359</v>
          </cell>
          <cell r="J629" t="str">
            <v>Beverages</v>
          </cell>
          <cell r="O629">
            <v>1.28</v>
          </cell>
        </row>
        <row r="630">
          <cell r="B630">
            <v>45384</v>
          </cell>
          <cell r="J630" t="str">
            <v>Dairy</v>
          </cell>
          <cell r="O630">
            <v>30</v>
          </cell>
        </row>
        <row r="631">
          <cell r="B631">
            <v>45539</v>
          </cell>
          <cell r="J631" t="str">
            <v>Traditional Food</v>
          </cell>
          <cell r="O631">
            <v>8</v>
          </cell>
        </row>
        <row r="632">
          <cell r="B632">
            <v>45425</v>
          </cell>
          <cell r="J632" t="str">
            <v>Traditional Food</v>
          </cell>
          <cell r="O632">
            <v>5.5</v>
          </cell>
        </row>
        <row r="633">
          <cell r="B633">
            <v>45634</v>
          </cell>
          <cell r="J633" t="str">
            <v>Dairy</v>
          </cell>
          <cell r="O633">
            <v>36.520000000000003</v>
          </cell>
        </row>
        <row r="634">
          <cell r="B634">
            <v>45630</v>
          </cell>
          <cell r="J634" t="str">
            <v>Traditional Food</v>
          </cell>
          <cell r="O634">
            <v>20</v>
          </cell>
        </row>
        <row r="635">
          <cell r="B635">
            <v>45577</v>
          </cell>
          <cell r="J635" t="str">
            <v>Groceries</v>
          </cell>
          <cell r="O635">
            <v>56</v>
          </cell>
        </row>
        <row r="636">
          <cell r="B636">
            <v>45545</v>
          </cell>
          <cell r="J636" t="str">
            <v>Beverages</v>
          </cell>
          <cell r="O636">
            <v>4.5</v>
          </cell>
        </row>
        <row r="637">
          <cell r="B637">
            <v>45434</v>
          </cell>
          <cell r="J637" t="str">
            <v>Beverages</v>
          </cell>
          <cell r="O637">
            <v>1.42</v>
          </cell>
        </row>
        <row r="638">
          <cell r="B638">
            <v>45412</v>
          </cell>
          <cell r="J638" t="str">
            <v>Groceries</v>
          </cell>
          <cell r="O638">
            <v>8.4</v>
          </cell>
        </row>
        <row r="639">
          <cell r="B639">
            <v>45547</v>
          </cell>
          <cell r="J639" t="str">
            <v>Groceries</v>
          </cell>
          <cell r="O639">
            <v>13.5</v>
          </cell>
        </row>
        <row r="640">
          <cell r="B640">
            <v>45498</v>
          </cell>
          <cell r="J640" t="str">
            <v>Traditional Food</v>
          </cell>
          <cell r="O640">
            <v>7</v>
          </cell>
        </row>
        <row r="641">
          <cell r="B641">
            <v>45552</v>
          </cell>
          <cell r="J641" t="str">
            <v>Traditional Food</v>
          </cell>
          <cell r="O641">
            <v>18</v>
          </cell>
        </row>
        <row r="642">
          <cell r="B642">
            <v>45319</v>
          </cell>
          <cell r="J642" t="str">
            <v>Handicrafts</v>
          </cell>
          <cell r="O642">
            <v>54.4</v>
          </cell>
        </row>
        <row r="643">
          <cell r="B643">
            <v>45523</v>
          </cell>
          <cell r="J643" t="str">
            <v>Dairy</v>
          </cell>
          <cell r="O643">
            <v>6</v>
          </cell>
        </row>
        <row r="644">
          <cell r="B644">
            <v>45473</v>
          </cell>
          <cell r="J644" t="str">
            <v>Traditional Food</v>
          </cell>
          <cell r="O644">
            <v>4.7</v>
          </cell>
        </row>
        <row r="645">
          <cell r="B645">
            <v>45376</v>
          </cell>
          <cell r="J645" t="str">
            <v>Traditional Food</v>
          </cell>
          <cell r="O645">
            <v>40</v>
          </cell>
        </row>
        <row r="646">
          <cell r="B646">
            <v>45422</v>
          </cell>
          <cell r="J646" t="str">
            <v>Groceries</v>
          </cell>
          <cell r="O646">
            <v>24</v>
          </cell>
        </row>
        <row r="647">
          <cell r="B647">
            <v>45526</v>
          </cell>
          <cell r="J647" t="str">
            <v>Groceries</v>
          </cell>
          <cell r="O647">
            <v>17.64</v>
          </cell>
        </row>
        <row r="648">
          <cell r="B648">
            <v>45616</v>
          </cell>
          <cell r="J648" t="str">
            <v>Groceries</v>
          </cell>
          <cell r="O648">
            <v>22.8</v>
          </cell>
        </row>
        <row r="649">
          <cell r="B649">
            <v>45547</v>
          </cell>
          <cell r="J649" t="str">
            <v>Groceries</v>
          </cell>
          <cell r="O649">
            <v>0.85</v>
          </cell>
        </row>
        <row r="650">
          <cell r="B650">
            <v>45552</v>
          </cell>
          <cell r="J650" t="str">
            <v>Groceries</v>
          </cell>
          <cell r="O650">
            <v>6.48</v>
          </cell>
        </row>
        <row r="651">
          <cell r="B651">
            <v>45490</v>
          </cell>
          <cell r="J651" t="str">
            <v>Beverages</v>
          </cell>
          <cell r="O651">
            <v>19</v>
          </cell>
        </row>
        <row r="652">
          <cell r="B652">
            <v>45603</v>
          </cell>
          <cell r="J652" t="str">
            <v>Groceries</v>
          </cell>
          <cell r="O652">
            <v>22.4</v>
          </cell>
        </row>
        <row r="653">
          <cell r="B653">
            <v>45360</v>
          </cell>
          <cell r="J653" t="str">
            <v>Handicrafts</v>
          </cell>
          <cell r="O653">
            <v>175</v>
          </cell>
        </row>
        <row r="654">
          <cell r="B654">
            <v>45651</v>
          </cell>
          <cell r="J654" t="str">
            <v>Dairy</v>
          </cell>
          <cell r="O654">
            <v>53.64</v>
          </cell>
        </row>
        <row r="655">
          <cell r="B655">
            <v>45394</v>
          </cell>
          <cell r="J655" t="str">
            <v>Groceries</v>
          </cell>
          <cell r="O655">
            <v>13.3</v>
          </cell>
        </row>
        <row r="656">
          <cell r="B656">
            <v>45655</v>
          </cell>
          <cell r="J656" t="str">
            <v>Handicrafts</v>
          </cell>
          <cell r="O656">
            <v>68.400000000000006</v>
          </cell>
        </row>
        <row r="657">
          <cell r="B657">
            <v>45472</v>
          </cell>
          <cell r="J657" t="str">
            <v>Handicrafts</v>
          </cell>
          <cell r="O657">
            <v>144</v>
          </cell>
        </row>
        <row r="658">
          <cell r="B658">
            <v>45508</v>
          </cell>
          <cell r="J658" t="str">
            <v>Groceries</v>
          </cell>
          <cell r="O658">
            <v>1.1399999999999999</v>
          </cell>
        </row>
        <row r="659">
          <cell r="B659">
            <v>45635</v>
          </cell>
          <cell r="J659" t="str">
            <v>Beverages</v>
          </cell>
          <cell r="O659">
            <v>2</v>
          </cell>
        </row>
        <row r="660">
          <cell r="B660">
            <v>45641</v>
          </cell>
          <cell r="J660" t="str">
            <v>Beverages</v>
          </cell>
          <cell r="O660">
            <v>6.75</v>
          </cell>
        </row>
        <row r="661">
          <cell r="B661">
            <v>45569</v>
          </cell>
          <cell r="J661" t="str">
            <v>Handicrafts</v>
          </cell>
          <cell r="O661">
            <v>70</v>
          </cell>
        </row>
        <row r="662">
          <cell r="B662">
            <v>45623</v>
          </cell>
          <cell r="J662" t="str">
            <v>Groceries</v>
          </cell>
          <cell r="O662">
            <v>36</v>
          </cell>
        </row>
        <row r="663">
          <cell r="B663">
            <v>45487</v>
          </cell>
          <cell r="J663" t="str">
            <v>Handicrafts</v>
          </cell>
          <cell r="O663">
            <v>455</v>
          </cell>
        </row>
        <row r="664">
          <cell r="B664">
            <v>45298</v>
          </cell>
          <cell r="J664" t="str">
            <v>Handicrafts</v>
          </cell>
          <cell r="O664">
            <v>72</v>
          </cell>
        </row>
        <row r="665">
          <cell r="B665">
            <v>45616</v>
          </cell>
          <cell r="J665" t="str">
            <v>Groceries</v>
          </cell>
          <cell r="O665">
            <v>9.24</v>
          </cell>
        </row>
        <row r="666">
          <cell r="B666">
            <v>45442</v>
          </cell>
          <cell r="J666" t="str">
            <v>Beverages</v>
          </cell>
          <cell r="O666">
            <v>22.5</v>
          </cell>
        </row>
        <row r="667">
          <cell r="B667">
            <v>45555</v>
          </cell>
          <cell r="J667" t="str">
            <v>Beverages</v>
          </cell>
          <cell r="O667">
            <v>3</v>
          </cell>
        </row>
        <row r="668">
          <cell r="B668">
            <v>45358</v>
          </cell>
          <cell r="J668" t="str">
            <v>Groceries</v>
          </cell>
          <cell r="O668">
            <v>11.4</v>
          </cell>
        </row>
        <row r="669">
          <cell r="B669">
            <v>45655</v>
          </cell>
          <cell r="J669" t="str">
            <v>Handicrafts</v>
          </cell>
          <cell r="O669">
            <v>40</v>
          </cell>
        </row>
        <row r="670">
          <cell r="B670">
            <v>45543</v>
          </cell>
          <cell r="J670" t="str">
            <v>Traditional Food</v>
          </cell>
          <cell r="O670">
            <v>8.93</v>
          </cell>
        </row>
        <row r="671">
          <cell r="B671">
            <v>45386</v>
          </cell>
          <cell r="J671" t="str">
            <v>Handicrafts</v>
          </cell>
          <cell r="O671">
            <v>136</v>
          </cell>
        </row>
        <row r="672">
          <cell r="B672">
            <v>45339</v>
          </cell>
          <cell r="J672" t="str">
            <v>Groceries</v>
          </cell>
          <cell r="O672">
            <v>14.4</v>
          </cell>
        </row>
        <row r="673">
          <cell r="B673">
            <v>45476</v>
          </cell>
          <cell r="J673" t="str">
            <v>Handicrafts</v>
          </cell>
          <cell r="O673">
            <v>80</v>
          </cell>
        </row>
        <row r="674">
          <cell r="B674">
            <v>45579</v>
          </cell>
          <cell r="J674" t="str">
            <v>Dairy</v>
          </cell>
          <cell r="O674">
            <v>3.5</v>
          </cell>
        </row>
        <row r="675">
          <cell r="B675">
            <v>45312</v>
          </cell>
          <cell r="J675" t="str">
            <v>Beverages</v>
          </cell>
          <cell r="O675">
            <v>8.25</v>
          </cell>
        </row>
        <row r="676">
          <cell r="B676">
            <v>45423</v>
          </cell>
          <cell r="J676" t="str">
            <v>Traditional Food</v>
          </cell>
          <cell r="O676">
            <v>40.5</v>
          </cell>
        </row>
        <row r="677">
          <cell r="B677">
            <v>45555</v>
          </cell>
          <cell r="J677" t="str">
            <v>Dairy</v>
          </cell>
          <cell r="O677">
            <v>59.5</v>
          </cell>
        </row>
        <row r="678">
          <cell r="B678">
            <v>45555</v>
          </cell>
          <cell r="J678" t="str">
            <v>Beverages</v>
          </cell>
          <cell r="O678">
            <v>4.5</v>
          </cell>
        </row>
        <row r="679">
          <cell r="B679">
            <v>45612</v>
          </cell>
          <cell r="J679" t="str">
            <v>Groceries</v>
          </cell>
          <cell r="O679">
            <v>6</v>
          </cell>
        </row>
        <row r="680">
          <cell r="B680">
            <v>45345</v>
          </cell>
          <cell r="J680" t="str">
            <v>Beverages</v>
          </cell>
          <cell r="O680">
            <v>9.94</v>
          </cell>
        </row>
        <row r="681">
          <cell r="B681">
            <v>45643</v>
          </cell>
          <cell r="J681" t="str">
            <v>Groceries</v>
          </cell>
          <cell r="O681">
            <v>6</v>
          </cell>
        </row>
        <row r="682">
          <cell r="B682">
            <v>45329</v>
          </cell>
          <cell r="J682" t="str">
            <v>Traditional Food</v>
          </cell>
          <cell r="O682">
            <v>1</v>
          </cell>
        </row>
        <row r="683">
          <cell r="B683">
            <v>45424</v>
          </cell>
          <cell r="J683" t="str">
            <v>Traditional Food</v>
          </cell>
          <cell r="O683">
            <v>14</v>
          </cell>
        </row>
        <row r="684">
          <cell r="B684">
            <v>45300</v>
          </cell>
          <cell r="J684" t="str">
            <v>Groceries</v>
          </cell>
          <cell r="O684">
            <v>14.04</v>
          </cell>
        </row>
        <row r="685">
          <cell r="B685">
            <v>45650</v>
          </cell>
          <cell r="J685" t="str">
            <v>Traditional Food</v>
          </cell>
          <cell r="O685">
            <v>3</v>
          </cell>
        </row>
        <row r="686">
          <cell r="B686">
            <v>45602</v>
          </cell>
          <cell r="J686" t="str">
            <v>Handicrafts</v>
          </cell>
          <cell r="O686">
            <v>105</v>
          </cell>
        </row>
        <row r="687">
          <cell r="B687">
            <v>45630</v>
          </cell>
          <cell r="J687" t="str">
            <v>Groceries</v>
          </cell>
          <cell r="O687">
            <v>2.8</v>
          </cell>
        </row>
        <row r="688">
          <cell r="B688">
            <v>45571</v>
          </cell>
          <cell r="J688" t="str">
            <v>Beverages</v>
          </cell>
          <cell r="O688">
            <v>9</v>
          </cell>
        </row>
        <row r="689">
          <cell r="B689">
            <v>45575</v>
          </cell>
          <cell r="J689" t="str">
            <v>Handicrafts</v>
          </cell>
          <cell r="O689">
            <v>216</v>
          </cell>
        </row>
        <row r="690">
          <cell r="B690">
            <v>45448</v>
          </cell>
          <cell r="J690" t="str">
            <v>Groceries</v>
          </cell>
          <cell r="O690">
            <v>17.64</v>
          </cell>
        </row>
        <row r="691">
          <cell r="B691">
            <v>45503</v>
          </cell>
          <cell r="J691" t="str">
            <v>Handicrafts</v>
          </cell>
          <cell r="O691">
            <v>204</v>
          </cell>
        </row>
        <row r="692">
          <cell r="B692">
            <v>45350</v>
          </cell>
          <cell r="J692" t="str">
            <v>Clothing</v>
          </cell>
          <cell r="O692">
            <v>97.2</v>
          </cell>
        </row>
        <row r="693">
          <cell r="B693">
            <v>45622</v>
          </cell>
          <cell r="J693" t="str">
            <v>Traditional Food</v>
          </cell>
          <cell r="O693">
            <v>9</v>
          </cell>
        </row>
        <row r="694">
          <cell r="B694">
            <v>45393</v>
          </cell>
          <cell r="J694" t="str">
            <v>Clothing</v>
          </cell>
          <cell r="O694">
            <v>342</v>
          </cell>
        </row>
        <row r="695">
          <cell r="B695">
            <v>45343</v>
          </cell>
          <cell r="J695" t="str">
            <v>Beverages</v>
          </cell>
          <cell r="O695">
            <v>9.5</v>
          </cell>
        </row>
        <row r="696">
          <cell r="B696">
            <v>45522</v>
          </cell>
          <cell r="J696" t="str">
            <v>Handicrafts</v>
          </cell>
          <cell r="O696">
            <v>83.6</v>
          </cell>
        </row>
        <row r="697">
          <cell r="B697">
            <v>45453</v>
          </cell>
          <cell r="J697" t="str">
            <v>Beverages</v>
          </cell>
          <cell r="O697">
            <v>14</v>
          </cell>
        </row>
        <row r="698">
          <cell r="B698">
            <v>45433</v>
          </cell>
          <cell r="J698" t="str">
            <v>Beverages</v>
          </cell>
          <cell r="O698">
            <v>9</v>
          </cell>
        </row>
        <row r="699">
          <cell r="B699">
            <v>45520</v>
          </cell>
          <cell r="J699" t="str">
            <v>Dairy</v>
          </cell>
          <cell r="O699">
            <v>15.24</v>
          </cell>
        </row>
        <row r="700">
          <cell r="B700">
            <v>45622</v>
          </cell>
          <cell r="J700" t="str">
            <v>Traditional Food</v>
          </cell>
          <cell r="O700">
            <v>50</v>
          </cell>
        </row>
        <row r="701">
          <cell r="B701">
            <v>45426</v>
          </cell>
          <cell r="J701" t="str">
            <v>Beverages</v>
          </cell>
          <cell r="O701">
            <v>2.7</v>
          </cell>
        </row>
        <row r="702">
          <cell r="B702">
            <v>45589</v>
          </cell>
          <cell r="J702" t="str">
            <v>Dairy</v>
          </cell>
          <cell r="O702">
            <v>66.5</v>
          </cell>
        </row>
        <row r="703">
          <cell r="B703">
            <v>45570</v>
          </cell>
          <cell r="J703" t="str">
            <v>Traditional Food</v>
          </cell>
          <cell r="O703">
            <v>9</v>
          </cell>
        </row>
        <row r="704">
          <cell r="B704">
            <v>45406</v>
          </cell>
          <cell r="J704" t="str">
            <v>Handicrafts</v>
          </cell>
          <cell r="O704">
            <v>205.2</v>
          </cell>
        </row>
        <row r="705">
          <cell r="B705">
            <v>45495</v>
          </cell>
          <cell r="J705" t="str">
            <v>Groceries</v>
          </cell>
          <cell r="O705">
            <v>10.199999999999999</v>
          </cell>
        </row>
        <row r="706">
          <cell r="B706">
            <v>45520</v>
          </cell>
          <cell r="J706" t="str">
            <v>Beverages</v>
          </cell>
          <cell r="O706">
            <v>4.5</v>
          </cell>
        </row>
        <row r="707">
          <cell r="B707">
            <v>45475</v>
          </cell>
          <cell r="J707" t="str">
            <v>Beverages</v>
          </cell>
          <cell r="O707">
            <v>2</v>
          </cell>
        </row>
        <row r="708">
          <cell r="B708">
            <v>45481</v>
          </cell>
          <cell r="J708" t="str">
            <v>Traditional Food</v>
          </cell>
          <cell r="O708">
            <v>8</v>
          </cell>
        </row>
        <row r="709">
          <cell r="B709">
            <v>45532</v>
          </cell>
          <cell r="J709" t="str">
            <v>Handicrafts</v>
          </cell>
          <cell r="O709">
            <v>180</v>
          </cell>
        </row>
        <row r="710">
          <cell r="B710">
            <v>45652</v>
          </cell>
          <cell r="J710" t="str">
            <v>Handicrafts</v>
          </cell>
          <cell r="O710">
            <v>122.4</v>
          </cell>
        </row>
        <row r="711">
          <cell r="B711">
            <v>45484</v>
          </cell>
          <cell r="J711" t="str">
            <v>Clothing</v>
          </cell>
          <cell r="O711">
            <v>234</v>
          </cell>
        </row>
        <row r="712">
          <cell r="B712">
            <v>45484</v>
          </cell>
          <cell r="J712" t="str">
            <v>Traditional Food</v>
          </cell>
          <cell r="O712">
            <v>7.6</v>
          </cell>
        </row>
        <row r="713">
          <cell r="B713">
            <v>45538</v>
          </cell>
          <cell r="J713" t="str">
            <v>Handicrafts</v>
          </cell>
          <cell r="O713">
            <v>240</v>
          </cell>
        </row>
        <row r="714">
          <cell r="B714">
            <v>45409</v>
          </cell>
          <cell r="J714" t="str">
            <v>Groceries</v>
          </cell>
          <cell r="O714">
            <v>2.5499999999999998</v>
          </cell>
        </row>
        <row r="715">
          <cell r="B715">
            <v>45372</v>
          </cell>
          <cell r="J715" t="str">
            <v>Beverages</v>
          </cell>
          <cell r="O715">
            <v>11.4</v>
          </cell>
        </row>
        <row r="716">
          <cell r="B716">
            <v>45461</v>
          </cell>
          <cell r="J716" t="str">
            <v>Beverages</v>
          </cell>
          <cell r="O716">
            <v>3</v>
          </cell>
        </row>
        <row r="717">
          <cell r="B717">
            <v>45623</v>
          </cell>
          <cell r="J717" t="str">
            <v>Beverages</v>
          </cell>
          <cell r="O717">
            <v>21</v>
          </cell>
        </row>
        <row r="718">
          <cell r="B718">
            <v>45614</v>
          </cell>
          <cell r="J718" t="str">
            <v>Beverages</v>
          </cell>
          <cell r="O718">
            <v>12.75</v>
          </cell>
        </row>
        <row r="719">
          <cell r="B719">
            <v>45424</v>
          </cell>
          <cell r="J719" t="str">
            <v>Traditional Food</v>
          </cell>
          <cell r="O719">
            <v>2.82</v>
          </cell>
        </row>
        <row r="720">
          <cell r="B720">
            <v>45335</v>
          </cell>
          <cell r="J720" t="str">
            <v>Traditional Food</v>
          </cell>
          <cell r="O720">
            <v>3.5</v>
          </cell>
        </row>
        <row r="721">
          <cell r="B721">
            <v>45404</v>
          </cell>
          <cell r="J721" t="str">
            <v>Dairy</v>
          </cell>
          <cell r="O721">
            <v>19.88</v>
          </cell>
        </row>
        <row r="722">
          <cell r="B722">
            <v>45377</v>
          </cell>
          <cell r="J722" t="str">
            <v>Beverages</v>
          </cell>
          <cell r="O722">
            <v>8.25</v>
          </cell>
        </row>
        <row r="723">
          <cell r="B723">
            <v>45489</v>
          </cell>
          <cell r="J723" t="str">
            <v>Beverages</v>
          </cell>
          <cell r="O723">
            <v>3.75</v>
          </cell>
        </row>
        <row r="724">
          <cell r="B724">
            <v>45368</v>
          </cell>
          <cell r="J724" t="str">
            <v>Dairy</v>
          </cell>
          <cell r="O724">
            <v>70</v>
          </cell>
        </row>
        <row r="725">
          <cell r="B725">
            <v>45339</v>
          </cell>
          <cell r="J725" t="str">
            <v>Traditional Food</v>
          </cell>
          <cell r="O725">
            <v>7.2</v>
          </cell>
        </row>
        <row r="726">
          <cell r="B726">
            <v>45639</v>
          </cell>
          <cell r="J726" t="str">
            <v>Groceries</v>
          </cell>
          <cell r="O726">
            <v>26.6</v>
          </cell>
        </row>
        <row r="727">
          <cell r="B727">
            <v>45409</v>
          </cell>
          <cell r="J727" t="str">
            <v>Traditional Food</v>
          </cell>
          <cell r="O727">
            <v>6.72</v>
          </cell>
        </row>
        <row r="728">
          <cell r="B728">
            <v>45360</v>
          </cell>
          <cell r="J728" t="str">
            <v>Traditional Food</v>
          </cell>
          <cell r="O728">
            <v>22.5</v>
          </cell>
        </row>
        <row r="729">
          <cell r="B729">
            <v>45598</v>
          </cell>
          <cell r="J729" t="str">
            <v>Traditional Food</v>
          </cell>
          <cell r="O729">
            <v>18</v>
          </cell>
        </row>
        <row r="730">
          <cell r="B730">
            <v>45558</v>
          </cell>
          <cell r="J730" t="str">
            <v>Traditional Food</v>
          </cell>
          <cell r="O730">
            <v>0.5</v>
          </cell>
        </row>
        <row r="731">
          <cell r="B731">
            <v>45477</v>
          </cell>
          <cell r="J731" t="str">
            <v>Handicrafts</v>
          </cell>
          <cell r="O731">
            <v>32</v>
          </cell>
        </row>
        <row r="732">
          <cell r="B732">
            <v>45566</v>
          </cell>
          <cell r="J732" t="str">
            <v>Clothing</v>
          </cell>
          <cell r="O732">
            <v>239.4</v>
          </cell>
        </row>
        <row r="733">
          <cell r="B733">
            <v>45503</v>
          </cell>
          <cell r="J733" t="str">
            <v>Groceries</v>
          </cell>
          <cell r="O733">
            <v>42.84</v>
          </cell>
        </row>
        <row r="734">
          <cell r="B734">
            <v>45421</v>
          </cell>
          <cell r="J734" t="str">
            <v>Handicrafts</v>
          </cell>
          <cell r="O734">
            <v>114</v>
          </cell>
        </row>
        <row r="735">
          <cell r="B735">
            <v>45629</v>
          </cell>
          <cell r="J735" t="str">
            <v>Groceries</v>
          </cell>
          <cell r="O735">
            <v>10.08</v>
          </cell>
        </row>
        <row r="736">
          <cell r="B736">
            <v>45401</v>
          </cell>
          <cell r="J736" t="str">
            <v>Beverages</v>
          </cell>
          <cell r="O736">
            <v>12.75</v>
          </cell>
        </row>
        <row r="737">
          <cell r="B737">
            <v>45374</v>
          </cell>
          <cell r="J737" t="str">
            <v>Groceries</v>
          </cell>
          <cell r="O737">
            <v>23.4</v>
          </cell>
        </row>
        <row r="738">
          <cell r="B738">
            <v>45599</v>
          </cell>
          <cell r="J738" t="str">
            <v>Beverages</v>
          </cell>
          <cell r="O738">
            <v>14</v>
          </cell>
        </row>
        <row r="739">
          <cell r="B739">
            <v>45603</v>
          </cell>
          <cell r="J739" t="str">
            <v>Handicrafts</v>
          </cell>
          <cell r="O739">
            <v>21.6</v>
          </cell>
        </row>
        <row r="740">
          <cell r="B740">
            <v>45656</v>
          </cell>
          <cell r="J740" t="str">
            <v>Dairy</v>
          </cell>
          <cell r="O740">
            <v>70</v>
          </cell>
        </row>
        <row r="741">
          <cell r="B741">
            <v>45516</v>
          </cell>
          <cell r="J741" t="str">
            <v>Beverages</v>
          </cell>
          <cell r="O741">
            <v>0.75</v>
          </cell>
        </row>
        <row r="742">
          <cell r="B742">
            <v>45391</v>
          </cell>
          <cell r="J742" t="str">
            <v>Dairy</v>
          </cell>
          <cell r="O742">
            <v>5.96</v>
          </cell>
        </row>
        <row r="743">
          <cell r="B743">
            <v>45637</v>
          </cell>
          <cell r="J743" t="str">
            <v>Beverages</v>
          </cell>
          <cell r="O743">
            <v>1.5</v>
          </cell>
        </row>
        <row r="744">
          <cell r="B744">
            <v>45433</v>
          </cell>
          <cell r="J744" t="str">
            <v>Beverages</v>
          </cell>
          <cell r="O744">
            <v>9.75</v>
          </cell>
        </row>
        <row r="745">
          <cell r="B745">
            <v>45652</v>
          </cell>
          <cell r="J745" t="str">
            <v>Beverages</v>
          </cell>
          <cell r="O745">
            <v>4.5</v>
          </cell>
        </row>
        <row r="746">
          <cell r="B746">
            <v>45469</v>
          </cell>
          <cell r="J746" t="str">
            <v>Groceries</v>
          </cell>
          <cell r="O746">
            <v>18</v>
          </cell>
        </row>
        <row r="747">
          <cell r="B747">
            <v>45586</v>
          </cell>
          <cell r="J747" t="str">
            <v>Groceries</v>
          </cell>
          <cell r="O747">
            <v>0.9</v>
          </cell>
        </row>
        <row r="748">
          <cell r="B748">
            <v>45549</v>
          </cell>
          <cell r="J748" t="str">
            <v>Traditional Food</v>
          </cell>
          <cell r="O748">
            <v>25</v>
          </cell>
        </row>
        <row r="749">
          <cell r="B749">
            <v>45567</v>
          </cell>
          <cell r="J749" t="str">
            <v>Dairy</v>
          </cell>
          <cell r="O749">
            <v>66.5</v>
          </cell>
        </row>
        <row r="750">
          <cell r="B750">
            <v>45416</v>
          </cell>
          <cell r="J750" t="str">
            <v>Groceries</v>
          </cell>
          <cell r="O750">
            <v>26.18</v>
          </cell>
        </row>
        <row r="751">
          <cell r="B751">
            <v>45351</v>
          </cell>
          <cell r="J751" t="str">
            <v>Traditional Food</v>
          </cell>
          <cell r="O751">
            <v>4.5</v>
          </cell>
        </row>
        <row r="752">
          <cell r="B752">
            <v>45453</v>
          </cell>
          <cell r="J752" t="str">
            <v>Beverages</v>
          </cell>
          <cell r="O752">
            <v>10.5</v>
          </cell>
        </row>
        <row r="753">
          <cell r="B753">
            <v>45439</v>
          </cell>
          <cell r="J753" t="str">
            <v>Clothing</v>
          </cell>
          <cell r="O753">
            <v>54</v>
          </cell>
        </row>
        <row r="754">
          <cell r="B754">
            <v>45575</v>
          </cell>
          <cell r="J754" t="str">
            <v>Handicrafts</v>
          </cell>
          <cell r="O754">
            <v>48</v>
          </cell>
        </row>
        <row r="755">
          <cell r="B755">
            <v>45641</v>
          </cell>
          <cell r="J755" t="str">
            <v>Clothing</v>
          </cell>
          <cell r="O755">
            <v>126</v>
          </cell>
        </row>
        <row r="756">
          <cell r="B756">
            <v>45397</v>
          </cell>
          <cell r="J756" t="str">
            <v>Beverages</v>
          </cell>
          <cell r="O756">
            <v>6</v>
          </cell>
        </row>
        <row r="757">
          <cell r="B757">
            <v>45346</v>
          </cell>
          <cell r="J757" t="str">
            <v>Handicrafts</v>
          </cell>
          <cell r="O757">
            <v>48</v>
          </cell>
        </row>
        <row r="758">
          <cell r="B758">
            <v>45569</v>
          </cell>
          <cell r="J758" t="str">
            <v>Dairy</v>
          </cell>
          <cell r="O758">
            <v>2.54</v>
          </cell>
        </row>
        <row r="759">
          <cell r="B759">
            <v>45586</v>
          </cell>
          <cell r="J759" t="str">
            <v>Handicrafts</v>
          </cell>
          <cell r="O759">
            <v>72</v>
          </cell>
        </row>
        <row r="760">
          <cell r="B760">
            <v>45495</v>
          </cell>
          <cell r="J760" t="str">
            <v>Dairy</v>
          </cell>
          <cell r="O760">
            <v>23.84</v>
          </cell>
        </row>
        <row r="761">
          <cell r="B761">
            <v>45536</v>
          </cell>
          <cell r="J761" t="str">
            <v>Dairy</v>
          </cell>
          <cell r="O761">
            <v>63</v>
          </cell>
        </row>
        <row r="762">
          <cell r="B762">
            <v>45353</v>
          </cell>
          <cell r="J762" t="str">
            <v>Beverages</v>
          </cell>
          <cell r="O762">
            <v>12.75</v>
          </cell>
        </row>
        <row r="763">
          <cell r="B763">
            <v>45486</v>
          </cell>
          <cell r="J763" t="str">
            <v>Traditional Food</v>
          </cell>
          <cell r="O763">
            <v>9.5</v>
          </cell>
        </row>
        <row r="764">
          <cell r="B764">
            <v>45572</v>
          </cell>
          <cell r="J764" t="str">
            <v>Clothing</v>
          </cell>
          <cell r="O764">
            <v>162</v>
          </cell>
        </row>
        <row r="765">
          <cell r="B765">
            <v>45386</v>
          </cell>
          <cell r="J765" t="str">
            <v>Handicrafts</v>
          </cell>
          <cell r="O765">
            <v>128</v>
          </cell>
        </row>
        <row r="766">
          <cell r="B766">
            <v>45497</v>
          </cell>
          <cell r="J766" t="str">
            <v>Handicrafts</v>
          </cell>
          <cell r="O766">
            <v>108</v>
          </cell>
        </row>
        <row r="767">
          <cell r="B767">
            <v>45430</v>
          </cell>
          <cell r="J767" t="str">
            <v>Beverages</v>
          </cell>
          <cell r="O767">
            <v>5.68</v>
          </cell>
        </row>
        <row r="768">
          <cell r="B768">
            <v>45368</v>
          </cell>
          <cell r="J768" t="str">
            <v>Beverages</v>
          </cell>
          <cell r="O768">
            <v>20.32</v>
          </cell>
        </row>
        <row r="769">
          <cell r="B769">
            <v>45614</v>
          </cell>
          <cell r="J769" t="str">
            <v>Dairy</v>
          </cell>
          <cell r="O769">
            <v>24.14</v>
          </cell>
        </row>
        <row r="770">
          <cell r="B770">
            <v>45420</v>
          </cell>
          <cell r="J770" t="str">
            <v>Dairy</v>
          </cell>
          <cell r="O770">
            <v>22.86</v>
          </cell>
        </row>
        <row r="771">
          <cell r="B771">
            <v>45322</v>
          </cell>
          <cell r="J771" t="str">
            <v>Traditional Food</v>
          </cell>
          <cell r="O771">
            <v>14.84</v>
          </cell>
        </row>
        <row r="772">
          <cell r="B772">
            <v>45463</v>
          </cell>
          <cell r="J772" t="str">
            <v>Traditional Food</v>
          </cell>
          <cell r="O772">
            <v>22.5</v>
          </cell>
        </row>
        <row r="773">
          <cell r="B773">
            <v>45302</v>
          </cell>
          <cell r="J773" t="str">
            <v>Clothing</v>
          </cell>
          <cell r="O773">
            <v>252</v>
          </cell>
        </row>
        <row r="774">
          <cell r="B774">
            <v>45437</v>
          </cell>
          <cell r="J774" t="str">
            <v>Beverages</v>
          </cell>
          <cell r="O774">
            <v>18</v>
          </cell>
        </row>
        <row r="775">
          <cell r="B775">
            <v>45487</v>
          </cell>
          <cell r="J775" t="str">
            <v>Groceries</v>
          </cell>
          <cell r="O775">
            <v>18</v>
          </cell>
        </row>
        <row r="776">
          <cell r="B776">
            <v>45619</v>
          </cell>
          <cell r="J776" t="str">
            <v>Beverages</v>
          </cell>
          <cell r="O776">
            <v>11</v>
          </cell>
        </row>
        <row r="777">
          <cell r="B777">
            <v>45332</v>
          </cell>
          <cell r="J777" t="str">
            <v>Groceries</v>
          </cell>
          <cell r="O777">
            <v>16.8</v>
          </cell>
        </row>
        <row r="778">
          <cell r="B778">
            <v>45601</v>
          </cell>
          <cell r="J778" t="str">
            <v>Handicrafts</v>
          </cell>
          <cell r="O778">
            <v>455</v>
          </cell>
        </row>
        <row r="779">
          <cell r="B779">
            <v>45503</v>
          </cell>
          <cell r="J779" t="str">
            <v>Handicrafts</v>
          </cell>
          <cell r="O779">
            <v>72</v>
          </cell>
        </row>
        <row r="780">
          <cell r="B780">
            <v>45650</v>
          </cell>
          <cell r="J780" t="str">
            <v>Beverages</v>
          </cell>
          <cell r="O780">
            <v>2.25</v>
          </cell>
        </row>
        <row r="781">
          <cell r="B781">
            <v>45534</v>
          </cell>
          <cell r="J781" t="str">
            <v>Traditional Food</v>
          </cell>
          <cell r="O781">
            <v>45</v>
          </cell>
        </row>
        <row r="782">
          <cell r="B782">
            <v>45345</v>
          </cell>
          <cell r="J782" t="str">
            <v>Dairy</v>
          </cell>
          <cell r="O782">
            <v>29.88</v>
          </cell>
        </row>
        <row r="783">
          <cell r="B783">
            <v>45409</v>
          </cell>
          <cell r="J783" t="str">
            <v>Groceries</v>
          </cell>
          <cell r="O783">
            <v>20.16</v>
          </cell>
        </row>
        <row r="784">
          <cell r="B784">
            <v>45561</v>
          </cell>
          <cell r="J784" t="str">
            <v>Beverages</v>
          </cell>
          <cell r="O784">
            <v>6</v>
          </cell>
        </row>
        <row r="785">
          <cell r="B785">
            <v>45531</v>
          </cell>
          <cell r="J785" t="str">
            <v>Handicrafts</v>
          </cell>
          <cell r="O785">
            <v>144</v>
          </cell>
        </row>
        <row r="786">
          <cell r="B786">
            <v>45594</v>
          </cell>
          <cell r="J786" t="str">
            <v>Groceries</v>
          </cell>
          <cell r="O786">
            <v>40</v>
          </cell>
        </row>
        <row r="787">
          <cell r="B787">
            <v>45469</v>
          </cell>
          <cell r="J787" t="str">
            <v>Groceries</v>
          </cell>
          <cell r="O787">
            <v>18.239999999999998</v>
          </cell>
        </row>
        <row r="788">
          <cell r="B788">
            <v>45479</v>
          </cell>
          <cell r="J788" t="str">
            <v>Groceries</v>
          </cell>
          <cell r="O788">
            <v>12.6</v>
          </cell>
        </row>
        <row r="789">
          <cell r="B789">
            <v>45468</v>
          </cell>
          <cell r="J789" t="str">
            <v>Traditional Food</v>
          </cell>
          <cell r="O789">
            <v>5</v>
          </cell>
        </row>
        <row r="790">
          <cell r="B790">
            <v>45445</v>
          </cell>
          <cell r="J790" t="str">
            <v>Dairy</v>
          </cell>
          <cell r="O790">
            <v>1.27</v>
          </cell>
        </row>
        <row r="791">
          <cell r="B791">
            <v>45572</v>
          </cell>
          <cell r="J791" t="str">
            <v>Beverages</v>
          </cell>
          <cell r="O791">
            <v>9</v>
          </cell>
        </row>
        <row r="792">
          <cell r="B792">
            <v>45419</v>
          </cell>
          <cell r="J792" t="str">
            <v>Groceries</v>
          </cell>
          <cell r="O792">
            <v>6.48</v>
          </cell>
        </row>
        <row r="793">
          <cell r="B793">
            <v>45426</v>
          </cell>
          <cell r="J793" t="str">
            <v>Groceries</v>
          </cell>
          <cell r="O793">
            <v>8.4</v>
          </cell>
        </row>
        <row r="794">
          <cell r="B794">
            <v>45624</v>
          </cell>
          <cell r="J794" t="str">
            <v>Clothing</v>
          </cell>
          <cell r="O794">
            <v>275.39999999999998</v>
          </cell>
        </row>
        <row r="795">
          <cell r="B795">
            <v>45361</v>
          </cell>
          <cell r="J795" t="str">
            <v>Traditional Food</v>
          </cell>
          <cell r="O795">
            <v>10</v>
          </cell>
        </row>
        <row r="796">
          <cell r="B796">
            <v>45650</v>
          </cell>
          <cell r="J796" t="str">
            <v>Groceries</v>
          </cell>
          <cell r="O796">
            <v>18</v>
          </cell>
        </row>
        <row r="797">
          <cell r="B797">
            <v>45565</v>
          </cell>
          <cell r="J797" t="str">
            <v>Beverages</v>
          </cell>
          <cell r="O797">
            <v>1</v>
          </cell>
        </row>
        <row r="798">
          <cell r="B798">
            <v>45516</v>
          </cell>
          <cell r="J798" t="str">
            <v>Clothing</v>
          </cell>
          <cell r="O798">
            <v>18</v>
          </cell>
        </row>
        <row r="799">
          <cell r="B799">
            <v>45467</v>
          </cell>
          <cell r="J799" t="str">
            <v>Dairy</v>
          </cell>
          <cell r="O799">
            <v>21</v>
          </cell>
        </row>
        <row r="800">
          <cell r="B800">
            <v>45648</v>
          </cell>
          <cell r="J800" t="str">
            <v>Handicrafts</v>
          </cell>
          <cell r="O800">
            <v>24</v>
          </cell>
        </row>
        <row r="801">
          <cell r="B801">
            <v>45428</v>
          </cell>
          <cell r="J801" t="str">
            <v>Beverages</v>
          </cell>
          <cell r="O801">
            <v>13</v>
          </cell>
        </row>
        <row r="802">
          <cell r="B802">
            <v>45487</v>
          </cell>
          <cell r="J802" t="str">
            <v>Beverages</v>
          </cell>
          <cell r="O802">
            <v>1.5</v>
          </cell>
        </row>
        <row r="803">
          <cell r="B803">
            <v>45518</v>
          </cell>
          <cell r="J803" t="str">
            <v>Beverages</v>
          </cell>
          <cell r="O803">
            <v>5.44</v>
          </cell>
        </row>
        <row r="804">
          <cell r="B804">
            <v>45558</v>
          </cell>
          <cell r="J804" t="str">
            <v>Groceries</v>
          </cell>
          <cell r="O804">
            <v>6.3</v>
          </cell>
        </row>
        <row r="805">
          <cell r="B805">
            <v>45373</v>
          </cell>
          <cell r="J805" t="str">
            <v>Handicrafts</v>
          </cell>
          <cell r="O805">
            <v>63</v>
          </cell>
        </row>
        <row r="806">
          <cell r="B806">
            <v>45538</v>
          </cell>
          <cell r="J806" t="str">
            <v>Traditional Food</v>
          </cell>
          <cell r="O806">
            <v>25</v>
          </cell>
        </row>
        <row r="807">
          <cell r="B807">
            <v>45412</v>
          </cell>
          <cell r="J807" t="str">
            <v>Beverages</v>
          </cell>
          <cell r="O807">
            <v>21</v>
          </cell>
        </row>
        <row r="808">
          <cell r="B808">
            <v>45494</v>
          </cell>
          <cell r="J808" t="str">
            <v>Clothing</v>
          </cell>
          <cell r="O808">
            <v>144</v>
          </cell>
        </row>
        <row r="809">
          <cell r="B809">
            <v>45482</v>
          </cell>
          <cell r="J809" t="str">
            <v>Dairy</v>
          </cell>
          <cell r="O809">
            <v>4.5</v>
          </cell>
        </row>
        <row r="810">
          <cell r="B810">
            <v>45322</v>
          </cell>
          <cell r="J810" t="str">
            <v>Handicrafts</v>
          </cell>
          <cell r="O810">
            <v>86.4</v>
          </cell>
        </row>
        <row r="811">
          <cell r="B811">
            <v>45541</v>
          </cell>
          <cell r="J811" t="str">
            <v>Traditional Food</v>
          </cell>
          <cell r="O811">
            <v>20</v>
          </cell>
        </row>
        <row r="812">
          <cell r="B812">
            <v>45390</v>
          </cell>
          <cell r="J812" t="str">
            <v>Handicrafts</v>
          </cell>
          <cell r="O812">
            <v>10.8</v>
          </cell>
        </row>
        <row r="813">
          <cell r="B813">
            <v>45312</v>
          </cell>
          <cell r="J813" t="str">
            <v>Beverages</v>
          </cell>
          <cell r="O813">
            <v>14.4</v>
          </cell>
        </row>
        <row r="814">
          <cell r="B814">
            <v>45389</v>
          </cell>
          <cell r="J814" t="str">
            <v>Groceries</v>
          </cell>
          <cell r="O814">
            <v>38</v>
          </cell>
        </row>
        <row r="815">
          <cell r="B815">
            <v>45598</v>
          </cell>
          <cell r="J815" t="str">
            <v>Groceries</v>
          </cell>
          <cell r="O815">
            <v>16.2</v>
          </cell>
        </row>
        <row r="816">
          <cell r="B816">
            <v>45426</v>
          </cell>
          <cell r="J816" t="str">
            <v>Groceries</v>
          </cell>
          <cell r="O816">
            <v>16.2</v>
          </cell>
        </row>
        <row r="817">
          <cell r="B817">
            <v>45386</v>
          </cell>
          <cell r="J817" t="str">
            <v>Dairy</v>
          </cell>
          <cell r="O817">
            <v>3.32</v>
          </cell>
        </row>
        <row r="818">
          <cell r="B818">
            <v>45324</v>
          </cell>
          <cell r="J818" t="str">
            <v>Beverages</v>
          </cell>
          <cell r="O818">
            <v>11.52</v>
          </cell>
        </row>
        <row r="819">
          <cell r="B819">
            <v>45605</v>
          </cell>
          <cell r="J819" t="str">
            <v>Dairy</v>
          </cell>
          <cell r="O819">
            <v>15</v>
          </cell>
        </row>
        <row r="820">
          <cell r="B820">
            <v>45559</v>
          </cell>
          <cell r="J820" t="str">
            <v>Traditional Food</v>
          </cell>
          <cell r="O820">
            <v>7.5</v>
          </cell>
        </row>
        <row r="821">
          <cell r="B821">
            <v>45395</v>
          </cell>
          <cell r="J821" t="str">
            <v>Beverages</v>
          </cell>
          <cell r="O821">
            <v>3</v>
          </cell>
        </row>
        <row r="822">
          <cell r="B822">
            <v>45561</v>
          </cell>
          <cell r="J822" t="str">
            <v>Groceries</v>
          </cell>
          <cell r="O822">
            <v>50.4</v>
          </cell>
        </row>
        <row r="823">
          <cell r="B823">
            <v>45602</v>
          </cell>
          <cell r="J823" t="str">
            <v>Handicrafts</v>
          </cell>
          <cell r="O823">
            <v>36</v>
          </cell>
        </row>
        <row r="824">
          <cell r="B824">
            <v>45531</v>
          </cell>
          <cell r="J824" t="str">
            <v>Dairy</v>
          </cell>
          <cell r="O824">
            <v>3</v>
          </cell>
        </row>
        <row r="825">
          <cell r="B825">
            <v>45654</v>
          </cell>
          <cell r="J825" t="str">
            <v>Groceries</v>
          </cell>
          <cell r="O825">
            <v>2.04</v>
          </cell>
        </row>
        <row r="826">
          <cell r="B826">
            <v>45447</v>
          </cell>
          <cell r="J826" t="str">
            <v>Traditional Food</v>
          </cell>
          <cell r="O826">
            <v>1.5</v>
          </cell>
        </row>
        <row r="827">
          <cell r="B827">
            <v>45564</v>
          </cell>
          <cell r="J827" t="str">
            <v>Traditional Food</v>
          </cell>
          <cell r="O827">
            <v>32.5</v>
          </cell>
        </row>
        <row r="828">
          <cell r="B828">
            <v>45577</v>
          </cell>
          <cell r="J828" t="str">
            <v>Beverages</v>
          </cell>
          <cell r="O828">
            <v>13.5</v>
          </cell>
        </row>
        <row r="829">
          <cell r="B829">
            <v>45651</v>
          </cell>
          <cell r="J829" t="str">
            <v>Handicrafts</v>
          </cell>
          <cell r="O829">
            <v>168</v>
          </cell>
        </row>
        <row r="830">
          <cell r="B830">
            <v>45550</v>
          </cell>
          <cell r="J830" t="str">
            <v>Groceries</v>
          </cell>
          <cell r="O830">
            <v>19.8</v>
          </cell>
        </row>
        <row r="831">
          <cell r="B831">
            <v>45453</v>
          </cell>
          <cell r="J831" t="str">
            <v>Groceries</v>
          </cell>
          <cell r="O831">
            <v>16.2</v>
          </cell>
        </row>
        <row r="832">
          <cell r="B832">
            <v>45603</v>
          </cell>
          <cell r="J832" t="str">
            <v>Groceries</v>
          </cell>
          <cell r="O832">
            <v>9.1199999999999992</v>
          </cell>
        </row>
        <row r="833">
          <cell r="B833">
            <v>45476</v>
          </cell>
          <cell r="J833" t="str">
            <v>Groceries</v>
          </cell>
          <cell r="O833">
            <v>30</v>
          </cell>
        </row>
        <row r="834">
          <cell r="B834">
            <v>45597</v>
          </cell>
          <cell r="J834" t="str">
            <v>Traditional Food</v>
          </cell>
          <cell r="O834">
            <v>0.47</v>
          </cell>
        </row>
        <row r="835">
          <cell r="B835">
            <v>45445</v>
          </cell>
          <cell r="J835" t="str">
            <v>Handicrafts</v>
          </cell>
          <cell r="O835">
            <v>280</v>
          </cell>
        </row>
        <row r="836">
          <cell r="B836">
            <v>45340</v>
          </cell>
          <cell r="J836" t="str">
            <v>Clothing</v>
          </cell>
          <cell r="O836">
            <v>36</v>
          </cell>
        </row>
        <row r="837">
          <cell r="B837">
            <v>45590</v>
          </cell>
          <cell r="J837" t="str">
            <v>Clothing</v>
          </cell>
          <cell r="O837">
            <v>144</v>
          </cell>
        </row>
        <row r="838">
          <cell r="B838">
            <v>45583</v>
          </cell>
          <cell r="J838" t="str">
            <v>Traditional Food</v>
          </cell>
          <cell r="O838">
            <v>6.3</v>
          </cell>
        </row>
        <row r="839">
          <cell r="B839">
            <v>45541</v>
          </cell>
          <cell r="J839" t="str">
            <v>Dairy</v>
          </cell>
          <cell r="O839">
            <v>24.13</v>
          </cell>
        </row>
        <row r="840">
          <cell r="B840">
            <v>45587</v>
          </cell>
          <cell r="J840" t="str">
            <v>Handicrafts</v>
          </cell>
          <cell r="O840">
            <v>455</v>
          </cell>
        </row>
        <row r="841">
          <cell r="B841">
            <v>45514</v>
          </cell>
          <cell r="J841" t="str">
            <v>Handicrafts</v>
          </cell>
          <cell r="O841">
            <v>95.2</v>
          </cell>
        </row>
        <row r="842">
          <cell r="B842">
            <v>45616</v>
          </cell>
          <cell r="J842" t="str">
            <v>Beverages</v>
          </cell>
          <cell r="O842">
            <v>9.75</v>
          </cell>
        </row>
        <row r="843">
          <cell r="B843">
            <v>45459</v>
          </cell>
          <cell r="J843" t="str">
            <v>Handicrafts</v>
          </cell>
          <cell r="O843">
            <v>122.4</v>
          </cell>
        </row>
        <row r="844">
          <cell r="B844">
            <v>45596</v>
          </cell>
          <cell r="J844" t="str">
            <v>Groceries</v>
          </cell>
          <cell r="O844">
            <v>50.54</v>
          </cell>
        </row>
        <row r="845">
          <cell r="B845">
            <v>45367</v>
          </cell>
          <cell r="J845" t="str">
            <v>Handicrafts</v>
          </cell>
          <cell r="O845">
            <v>175</v>
          </cell>
        </row>
        <row r="846">
          <cell r="B846">
            <v>45426</v>
          </cell>
          <cell r="J846" t="str">
            <v>Traditional Food</v>
          </cell>
          <cell r="O846">
            <v>1.5</v>
          </cell>
        </row>
        <row r="847">
          <cell r="B847">
            <v>45538</v>
          </cell>
          <cell r="J847" t="str">
            <v>Beverages</v>
          </cell>
          <cell r="O847">
            <v>18</v>
          </cell>
        </row>
        <row r="848">
          <cell r="B848">
            <v>45416</v>
          </cell>
          <cell r="J848" t="str">
            <v>Beverages</v>
          </cell>
          <cell r="O848">
            <v>4.5</v>
          </cell>
        </row>
        <row r="849">
          <cell r="B849">
            <v>45635</v>
          </cell>
          <cell r="J849" t="str">
            <v>Traditional Food</v>
          </cell>
          <cell r="O849">
            <v>14</v>
          </cell>
        </row>
        <row r="850">
          <cell r="B850">
            <v>45596</v>
          </cell>
          <cell r="J850" t="str">
            <v>Handicrafts</v>
          </cell>
          <cell r="O850">
            <v>6.8</v>
          </cell>
        </row>
        <row r="851">
          <cell r="B851">
            <v>45517</v>
          </cell>
          <cell r="J851" t="str">
            <v>Groceries</v>
          </cell>
          <cell r="O851">
            <v>1.54</v>
          </cell>
        </row>
        <row r="852">
          <cell r="B852">
            <v>45335</v>
          </cell>
          <cell r="J852" t="str">
            <v>Handicrafts</v>
          </cell>
          <cell r="O852">
            <v>43.2</v>
          </cell>
        </row>
        <row r="853">
          <cell r="B853">
            <v>45299</v>
          </cell>
          <cell r="J853" t="str">
            <v>Beverages</v>
          </cell>
          <cell r="O853">
            <v>9.9</v>
          </cell>
        </row>
        <row r="854">
          <cell r="B854">
            <v>45303</v>
          </cell>
          <cell r="J854" t="str">
            <v>Groceries</v>
          </cell>
          <cell r="O854">
            <v>9.9</v>
          </cell>
        </row>
        <row r="855">
          <cell r="B855">
            <v>45572</v>
          </cell>
          <cell r="J855" t="str">
            <v>Beverages</v>
          </cell>
          <cell r="O855">
            <v>22.72</v>
          </cell>
        </row>
        <row r="856">
          <cell r="B856">
            <v>45590</v>
          </cell>
          <cell r="J856" t="str">
            <v>Traditional Food</v>
          </cell>
          <cell r="O856">
            <v>8.5</v>
          </cell>
        </row>
        <row r="857">
          <cell r="B857">
            <v>45648</v>
          </cell>
          <cell r="J857" t="str">
            <v>Handicrafts</v>
          </cell>
          <cell r="O857">
            <v>700</v>
          </cell>
        </row>
        <row r="858">
          <cell r="B858">
            <v>45490</v>
          </cell>
          <cell r="J858" t="str">
            <v>Traditional Food</v>
          </cell>
          <cell r="O858">
            <v>4.05</v>
          </cell>
        </row>
        <row r="859">
          <cell r="B859">
            <v>45301</v>
          </cell>
          <cell r="J859" t="str">
            <v>Handicrafts</v>
          </cell>
          <cell r="O859">
            <v>102</v>
          </cell>
        </row>
        <row r="860">
          <cell r="B860">
            <v>45552</v>
          </cell>
          <cell r="J860" t="str">
            <v>Beverages</v>
          </cell>
          <cell r="O860">
            <v>3</v>
          </cell>
        </row>
        <row r="861">
          <cell r="B861">
            <v>45387</v>
          </cell>
          <cell r="J861" t="str">
            <v>Groceries</v>
          </cell>
          <cell r="O861">
            <v>13.3</v>
          </cell>
        </row>
        <row r="862">
          <cell r="B862">
            <v>45418</v>
          </cell>
          <cell r="J862" t="str">
            <v>Traditional Food</v>
          </cell>
          <cell r="O862">
            <v>8.5</v>
          </cell>
        </row>
        <row r="863">
          <cell r="B863">
            <v>45469</v>
          </cell>
          <cell r="J863" t="str">
            <v>Beverages</v>
          </cell>
          <cell r="O863">
            <v>9</v>
          </cell>
        </row>
        <row r="864">
          <cell r="B864">
            <v>45323</v>
          </cell>
          <cell r="J864" t="str">
            <v>Dairy</v>
          </cell>
          <cell r="O864">
            <v>31.5</v>
          </cell>
        </row>
        <row r="865">
          <cell r="B865">
            <v>45407</v>
          </cell>
          <cell r="J865" t="str">
            <v>Traditional Food</v>
          </cell>
          <cell r="O865">
            <v>2.5</v>
          </cell>
        </row>
        <row r="866">
          <cell r="B866">
            <v>45487</v>
          </cell>
          <cell r="J866" t="str">
            <v>Beverages</v>
          </cell>
          <cell r="O866">
            <v>15.3</v>
          </cell>
        </row>
        <row r="867">
          <cell r="B867">
            <v>45415</v>
          </cell>
          <cell r="J867" t="str">
            <v>Beverages</v>
          </cell>
          <cell r="O867">
            <v>14.25</v>
          </cell>
        </row>
        <row r="868">
          <cell r="B868">
            <v>45569</v>
          </cell>
          <cell r="J868" t="str">
            <v>Handicrafts</v>
          </cell>
          <cell r="O868">
            <v>40</v>
          </cell>
        </row>
        <row r="869">
          <cell r="B869">
            <v>45362</v>
          </cell>
          <cell r="J869" t="str">
            <v>Groceries</v>
          </cell>
          <cell r="O869">
            <v>18</v>
          </cell>
        </row>
        <row r="870">
          <cell r="B870">
            <v>45366</v>
          </cell>
          <cell r="J870" t="str">
            <v>Beverages</v>
          </cell>
          <cell r="O870">
            <v>19</v>
          </cell>
        </row>
        <row r="871">
          <cell r="B871">
            <v>45386</v>
          </cell>
          <cell r="J871" t="str">
            <v>Groceries</v>
          </cell>
          <cell r="O871">
            <v>18.7</v>
          </cell>
        </row>
        <row r="872">
          <cell r="B872">
            <v>45503</v>
          </cell>
          <cell r="J872" t="str">
            <v>Traditional Food</v>
          </cell>
          <cell r="O872">
            <v>7</v>
          </cell>
        </row>
        <row r="873">
          <cell r="B873">
            <v>45388</v>
          </cell>
          <cell r="J873" t="str">
            <v>Clothing</v>
          </cell>
          <cell r="O873">
            <v>72</v>
          </cell>
        </row>
        <row r="874">
          <cell r="B874">
            <v>45597</v>
          </cell>
          <cell r="J874" t="str">
            <v>Clothing</v>
          </cell>
          <cell r="O874">
            <v>144</v>
          </cell>
        </row>
        <row r="875">
          <cell r="B875">
            <v>45360</v>
          </cell>
          <cell r="J875" t="str">
            <v>Traditional Food</v>
          </cell>
          <cell r="O875">
            <v>14.45</v>
          </cell>
        </row>
        <row r="876">
          <cell r="B876">
            <v>45490</v>
          </cell>
          <cell r="J876" t="str">
            <v>Handicrafts</v>
          </cell>
          <cell r="O876">
            <v>192</v>
          </cell>
        </row>
        <row r="877">
          <cell r="B877">
            <v>45501</v>
          </cell>
          <cell r="J877" t="str">
            <v>Beverages</v>
          </cell>
          <cell r="O877">
            <v>0.75</v>
          </cell>
        </row>
        <row r="878">
          <cell r="B878">
            <v>45325</v>
          </cell>
          <cell r="J878" t="str">
            <v>Beverages</v>
          </cell>
          <cell r="O878">
            <v>9</v>
          </cell>
        </row>
        <row r="879">
          <cell r="B879">
            <v>45418</v>
          </cell>
          <cell r="J879" t="str">
            <v>Handicrafts</v>
          </cell>
          <cell r="O879">
            <v>112</v>
          </cell>
        </row>
        <row r="880">
          <cell r="B880">
            <v>45493</v>
          </cell>
          <cell r="J880" t="str">
            <v>Groceries</v>
          </cell>
          <cell r="O880">
            <v>50.4</v>
          </cell>
        </row>
        <row r="881">
          <cell r="B881">
            <v>45558</v>
          </cell>
          <cell r="J881" t="str">
            <v>Dairy</v>
          </cell>
          <cell r="O881">
            <v>14</v>
          </cell>
        </row>
        <row r="882">
          <cell r="B882">
            <v>45557</v>
          </cell>
          <cell r="J882" t="str">
            <v>Traditional Food</v>
          </cell>
          <cell r="O882">
            <v>9</v>
          </cell>
        </row>
        <row r="883">
          <cell r="B883">
            <v>45556</v>
          </cell>
          <cell r="J883" t="str">
            <v>Groceries</v>
          </cell>
          <cell r="O883">
            <v>4</v>
          </cell>
        </row>
        <row r="884">
          <cell r="B884">
            <v>45528</v>
          </cell>
          <cell r="J884" t="str">
            <v>Handicrafts</v>
          </cell>
          <cell r="O884">
            <v>210</v>
          </cell>
        </row>
        <row r="885">
          <cell r="B885">
            <v>45529</v>
          </cell>
          <cell r="J885" t="str">
            <v>Traditional Food</v>
          </cell>
          <cell r="O885">
            <v>7.5</v>
          </cell>
        </row>
        <row r="886">
          <cell r="B886">
            <v>45493</v>
          </cell>
          <cell r="J886" t="str">
            <v>Beverages</v>
          </cell>
          <cell r="O886">
            <v>10.5</v>
          </cell>
        </row>
        <row r="887">
          <cell r="B887">
            <v>45524</v>
          </cell>
          <cell r="J887" t="str">
            <v>Groceries</v>
          </cell>
          <cell r="O887">
            <v>2.7</v>
          </cell>
        </row>
        <row r="888">
          <cell r="B888">
            <v>45338</v>
          </cell>
          <cell r="J888" t="str">
            <v>Beverages</v>
          </cell>
          <cell r="O888">
            <v>2.72</v>
          </cell>
        </row>
        <row r="889">
          <cell r="B889">
            <v>45553</v>
          </cell>
          <cell r="J889" t="str">
            <v>Traditional Food</v>
          </cell>
          <cell r="O889">
            <v>20</v>
          </cell>
        </row>
        <row r="890">
          <cell r="B890">
            <v>45463</v>
          </cell>
          <cell r="J890" t="str">
            <v>Traditional Food</v>
          </cell>
          <cell r="O890">
            <v>7.98</v>
          </cell>
        </row>
        <row r="891">
          <cell r="B891">
            <v>45383</v>
          </cell>
          <cell r="J891" t="str">
            <v>Beverages</v>
          </cell>
          <cell r="O891">
            <v>1.5</v>
          </cell>
        </row>
        <row r="892">
          <cell r="B892">
            <v>45612</v>
          </cell>
          <cell r="J892" t="str">
            <v>Groceries</v>
          </cell>
          <cell r="O892">
            <v>5.4</v>
          </cell>
        </row>
        <row r="893">
          <cell r="B893">
            <v>45610</v>
          </cell>
          <cell r="J893" t="str">
            <v>Beverages</v>
          </cell>
          <cell r="O893">
            <v>13.5</v>
          </cell>
        </row>
        <row r="894">
          <cell r="B894">
            <v>45603</v>
          </cell>
          <cell r="J894" t="str">
            <v>Dairy</v>
          </cell>
          <cell r="O894">
            <v>24</v>
          </cell>
        </row>
        <row r="895">
          <cell r="B895">
            <v>45501</v>
          </cell>
          <cell r="J895" t="str">
            <v>Dairy</v>
          </cell>
          <cell r="O895">
            <v>22.5</v>
          </cell>
        </row>
        <row r="896">
          <cell r="B896">
            <v>45609</v>
          </cell>
          <cell r="J896" t="str">
            <v>Beverages</v>
          </cell>
          <cell r="O896">
            <v>11.52</v>
          </cell>
        </row>
        <row r="897">
          <cell r="B897">
            <v>45320</v>
          </cell>
          <cell r="J897" t="str">
            <v>Beverages</v>
          </cell>
          <cell r="O897">
            <v>9</v>
          </cell>
        </row>
        <row r="898">
          <cell r="B898">
            <v>45336</v>
          </cell>
          <cell r="J898" t="str">
            <v>Handicrafts</v>
          </cell>
          <cell r="O898">
            <v>70</v>
          </cell>
        </row>
        <row r="899">
          <cell r="B899">
            <v>45604</v>
          </cell>
          <cell r="J899" t="str">
            <v>Beverages</v>
          </cell>
          <cell r="O899">
            <v>14.2</v>
          </cell>
        </row>
        <row r="900">
          <cell r="B900">
            <v>45310</v>
          </cell>
          <cell r="J900" t="str">
            <v>Groceries</v>
          </cell>
          <cell r="O900">
            <v>2.31</v>
          </cell>
        </row>
        <row r="901">
          <cell r="B901">
            <v>45510</v>
          </cell>
          <cell r="J901" t="str">
            <v>Groceries</v>
          </cell>
          <cell r="O901">
            <v>50.4</v>
          </cell>
        </row>
        <row r="902">
          <cell r="B902">
            <v>45460</v>
          </cell>
          <cell r="J902" t="str">
            <v>Traditional Food</v>
          </cell>
          <cell r="O902">
            <v>42.5</v>
          </cell>
        </row>
        <row r="903">
          <cell r="B903">
            <v>45347</v>
          </cell>
          <cell r="J903" t="str">
            <v>Beverages</v>
          </cell>
          <cell r="O903">
            <v>25.65</v>
          </cell>
        </row>
        <row r="904">
          <cell r="B904">
            <v>45644</v>
          </cell>
          <cell r="J904" t="str">
            <v>Traditional Food</v>
          </cell>
          <cell r="O904">
            <v>17</v>
          </cell>
        </row>
        <row r="905">
          <cell r="B905">
            <v>45424</v>
          </cell>
          <cell r="J905" t="str">
            <v>Groceries</v>
          </cell>
          <cell r="O905">
            <v>19.38</v>
          </cell>
        </row>
        <row r="906">
          <cell r="B906">
            <v>45558</v>
          </cell>
          <cell r="J906" t="str">
            <v>Beverages</v>
          </cell>
          <cell r="O906">
            <v>16</v>
          </cell>
        </row>
        <row r="907">
          <cell r="B907">
            <v>45391</v>
          </cell>
          <cell r="J907" t="str">
            <v>Beverages</v>
          </cell>
          <cell r="O907">
            <v>0.75</v>
          </cell>
        </row>
        <row r="908">
          <cell r="B908">
            <v>45607</v>
          </cell>
          <cell r="J908" t="str">
            <v>Traditional Food</v>
          </cell>
          <cell r="O908">
            <v>35</v>
          </cell>
        </row>
        <row r="909">
          <cell r="B909">
            <v>45297</v>
          </cell>
          <cell r="J909" t="str">
            <v>Groceries</v>
          </cell>
          <cell r="O909">
            <v>12.6</v>
          </cell>
        </row>
        <row r="910">
          <cell r="B910">
            <v>45445</v>
          </cell>
          <cell r="J910" t="str">
            <v>Traditional Food</v>
          </cell>
          <cell r="O910">
            <v>16.149999999999999</v>
          </cell>
        </row>
        <row r="911">
          <cell r="B911">
            <v>45466</v>
          </cell>
          <cell r="J911" t="str">
            <v>Traditional Food</v>
          </cell>
          <cell r="O911">
            <v>29.25</v>
          </cell>
        </row>
        <row r="912">
          <cell r="B912">
            <v>45391</v>
          </cell>
          <cell r="J912" t="str">
            <v>Traditional Food</v>
          </cell>
          <cell r="O912">
            <v>4.62</v>
          </cell>
        </row>
        <row r="913">
          <cell r="B913">
            <v>45310</v>
          </cell>
          <cell r="J913" t="str">
            <v>Dairy</v>
          </cell>
          <cell r="O913">
            <v>7.5</v>
          </cell>
        </row>
        <row r="914">
          <cell r="B914">
            <v>45528</v>
          </cell>
          <cell r="J914" t="str">
            <v>Groceries</v>
          </cell>
          <cell r="O914">
            <v>25.2</v>
          </cell>
        </row>
        <row r="915">
          <cell r="B915">
            <v>45576</v>
          </cell>
          <cell r="J915" t="str">
            <v>Handicrafts</v>
          </cell>
          <cell r="O915">
            <v>630</v>
          </cell>
        </row>
        <row r="916">
          <cell r="B916">
            <v>45325</v>
          </cell>
          <cell r="J916" t="str">
            <v>Handicrafts</v>
          </cell>
          <cell r="O916">
            <v>40</v>
          </cell>
        </row>
        <row r="917">
          <cell r="B917">
            <v>45584</v>
          </cell>
          <cell r="J917" t="str">
            <v>Groceries</v>
          </cell>
          <cell r="O917">
            <v>56</v>
          </cell>
        </row>
        <row r="918">
          <cell r="B918">
            <v>45655</v>
          </cell>
          <cell r="J918" t="str">
            <v>Handicrafts</v>
          </cell>
          <cell r="O918">
            <v>70</v>
          </cell>
        </row>
        <row r="919">
          <cell r="B919">
            <v>45523</v>
          </cell>
          <cell r="J919" t="str">
            <v>Beverages</v>
          </cell>
          <cell r="O919">
            <v>7.5</v>
          </cell>
        </row>
        <row r="920">
          <cell r="B920">
            <v>45311</v>
          </cell>
          <cell r="J920" t="str">
            <v>Traditional Food</v>
          </cell>
          <cell r="O920">
            <v>17.5</v>
          </cell>
        </row>
        <row r="921">
          <cell r="B921">
            <v>45389</v>
          </cell>
          <cell r="J921" t="str">
            <v>Dairy</v>
          </cell>
          <cell r="O921">
            <v>16.5</v>
          </cell>
        </row>
        <row r="922">
          <cell r="B922">
            <v>45365</v>
          </cell>
          <cell r="J922" t="str">
            <v>Handicrafts</v>
          </cell>
          <cell r="O922">
            <v>119</v>
          </cell>
        </row>
        <row r="923">
          <cell r="B923">
            <v>45310</v>
          </cell>
          <cell r="J923" t="str">
            <v>Beverages</v>
          </cell>
          <cell r="O923">
            <v>15</v>
          </cell>
        </row>
        <row r="924">
          <cell r="B924">
            <v>45451</v>
          </cell>
          <cell r="J924" t="str">
            <v>Traditional Food</v>
          </cell>
          <cell r="O924">
            <v>4.5</v>
          </cell>
        </row>
        <row r="925">
          <cell r="B925">
            <v>45531</v>
          </cell>
          <cell r="J925" t="str">
            <v>Traditional Food</v>
          </cell>
          <cell r="O925">
            <v>2</v>
          </cell>
        </row>
        <row r="926">
          <cell r="B926">
            <v>45587</v>
          </cell>
          <cell r="J926" t="str">
            <v>Handicrafts</v>
          </cell>
          <cell r="O926">
            <v>315</v>
          </cell>
        </row>
        <row r="927">
          <cell r="B927">
            <v>45438</v>
          </cell>
          <cell r="J927" t="str">
            <v>Beverages</v>
          </cell>
          <cell r="O927">
            <v>12.78</v>
          </cell>
        </row>
        <row r="928">
          <cell r="B928">
            <v>45368</v>
          </cell>
          <cell r="J928" t="str">
            <v>Traditional Food</v>
          </cell>
          <cell r="O928">
            <v>15</v>
          </cell>
        </row>
        <row r="929">
          <cell r="B929">
            <v>45397</v>
          </cell>
          <cell r="J929" t="str">
            <v>Groceries</v>
          </cell>
          <cell r="O929">
            <v>36</v>
          </cell>
        </row>
        <row r="930">
          <cell r="B930">
            <v>45585</v>
          </cell>
          <cell r="J930" t="str">
            <v>Beverages</v>
          </cell>
          <cell r="O930">
            <v>8</v>
          </cell>
        </row>
        <row r="931">
          <cell r="B931">
            <v>45317</v>
          </cell>
          <cell r="J931" t="str">
            <v>Handicrafts</v>
          </cell>
          <cell r="O931">
            <v>40</v>
          </cell>
        </row>
        <row r="932">
          <cell r="B932">
            <v>45488</v>
          </cell>
          <cell r="J932" t="str">
            <v>Traditional Food</v>
          </cell>
          <cell r="O932">
            <v>1</v>
          </cell>
        </row>
        <row r="933">
          <cell r="B933">
            <v>45451</v>
          </cell>
          <cell r="J933" t="str">
            <v>Groceries</v>
          </cell>
          <cell r="O933">
            <v>8.4700000000000006</v>
          </cell>
        </row>
        <row r="934">
          <cell r="B934">
            <v>45530</v>
          </cell>
          <cell r="J934" t="str">
            <v>Groceries</v>
          </cell>
          <cell r="O934">
            <v>38</v>
          </cell>
        </row>
        <row r="935">
          <cell r="B935">
            <v>45525</v>
          </cell>
          <cell r="J935" t="str">
            <v>Groceries</v>
          </cell>
          <cell r="O935">
            <v>8.1</v>
          </cell>
        </row>
        <row r="936">
          <cell r="B936">
            <v>45410</v>
          </cell>
          <cell r="J936" t="str">
            <v>Groceries</v>
          </cell>
          <cell r="O936">
            <v>7.2</v>
          </cell>
        </row>
        <row r="937">
          <cell r="B937">
            <v>45492</v>
          </cell>
          <cell r="J937" t="str">
            <v>Clothing</v>
          </cell>
          <cell r="O937">
            <v>97.2</v>
          </cell>
        </row>
        <row r="938">
          <cell r="B938">
            <v>45541</v>
          </cell>
          <cell r="J938" t="str">
            <v>Handicrafts</v>
          </cell>
          <cell r="O938">
            <v>8</v>
          </cell>
        </row>
        <row r="939">
          <cell r="B939">
            <v>45379</v>
          </cell>
          <cell r="J939" t="str">
            <v>Dairy</v>
          </cell>
          <cell r="O939">
            <v>12.7</v>
          </cell>
        </row>
        <row r="940">
          <cell r="B940">
            <v>45499</v>
          </cell>
          <cell r="J940" t="str">
            <v>Beverages</v>
          </cell>
          <cell r="O940">
            <v>4</v>
          </cell>
        </row>
        <row r="941">
          <cell r="B941">
            <v>45497</v>
          </cell>
          <cell r="J941" t="str">
            <v>Handicrafts</v>
          </cell>
          <cell r="O941">
            <v>665</v>
          </cell>
        </row>
        <row r="942">
          <cell r="B942">
            <v>45538</v>
          </cell>
          <cell r="J942" t="str">
            <v>Groceries</v>
          </cell>
          <cell r="O942">
            <v>26</v>
          </cell>
        </row>
        <row r="943">
          <cell r="B943">
            <v>45582</v>
          </cell>
          <cell r="J943" t="str">
            <v>Groceries</v>
          </cell>
          <cell r="O943">
            <v>12.54</v>
          </cell>
        </row>
        <row r="944">
          <cell r="B944">
            <v>45350</v>
          </cell>
          <cell r="J944" t="str">
            <v>Traditional Food</v>
          </cell>
          <cell r="O944">
            <v>18.05</v>
          </cell>
        </row>
        <row r="945">
          <cell r="B945">
            <v>45382</v>
          </cell>
          <cell r="J945" t="str">
            <v>Traditional Food</v>
          </cell>
          <cell r="O945">
            <v>25</v>
          </cell>
        </row>
        <row r="946">
          <cell r="B946">
            <v>45545</v>
          </cell>
          <cell r="J946" t="str">
            <v>Groceries</v>
          </cell>
          <cell r="O946">
            <v>5.6</v>
          </cell>
        </row>
        <row r="947">
          <cell r="B947">
            <v>45630</v>
          </cell>
          <cell r="J947" t="str">
            <v>Traditional Food</v>
          </cell>
          <cell r="O947">
            <v>2.5</v>
          </cell>
        </row>
        <row r="948">
          <cell r="B948">
            <v>45397</v>
          </cell>
          <cell r="J948" t="str">
            <v>Groceries</v>
          </cell>
          <cell r="O948">
            <v>9.9</v>
          </cell>
        </row>
        <row r="949">
          <cell r="B949">
            <v>45468</v>
          </cell>
          <cell r="J949" t="str">
            <v>Handicrafts</v>
          </cell>
          <cell r="O949">
            <v>99.75</v>
          </cell>
        </row>
        <row r="950">
          <cell r="B950">
            <v>45442</v>
          </cell>
          <cell r="J950" t="str">
            <v>Groceries</v>
          </cell>
          <cell r="O950">
            <v>5.6</v>
          </cell>
        </row>
        <row r="951">
          <cell r="B951">
            <v>45652</v>
          </cell>
          <cell r="J951" t="str">
            <v>Traditional Food</v>
          </cell>
          <cell r="O951">
            <v>7.56</v>
          </cell>
        </row>
        <row r="952">
          <cell r="B952">
            <v>45412</v>
          </cell>
          <cell r="J952" t="str">
            <v>Handicrafts</v>
          </cell>
          <cell r="O952">
            <v>441</v>
          </cell>
        </row>
        <row r="953">
          <cell r="B953">
            <v>45499</v>
          </cell>
          <cell r="J953" t="str">
            <v>Handicrafts</v>
          </cell>
          <cell r="O953">
            <v>104</v>
          </cell>
        </row>
        <row r="954">
          <cell r="B954">
            <v>45363</v>
          </cell>
          <cell r="J954" t="str">
            <v>Beverages</v>
          </cell>
          <cell r="O954">
            <v>4.97</v>
          </cell>
        </row>
        <row r="955">
          <cell r="B955">
            <v>45370</v>
          </cell>
          <cell r="J955" t="str">
            <v>Handicrafts</v>
          </cell>
          <cell r="O955">
            <v>102</v>
          </cell>
        </row>
        <row r="956">
          <cell r="B956">
            <v>45623</v>
          </cell>
          <cell r="J956" t="str">
            <v>Traditional Food</v>
          </cell>
          <cell r="O956">
            <v>0.5</v>
          </cell>
        </row>
        <row r="957">
          <cell r="B957">
            <v>45335</v>
          </cell>
          <cell r="J957" t="str">
            <v>Groceries</v>
          </cell>
          <cell r="O957">
            <v>5.4</v>
          </cell>
        </row>
        <row r="958">
          <cell r="B958">
            <v>45611</v>
          </cell>
          <cell r="J958" t="str">
            <v>Groceries</v>
          </cell>
          <cell r="O958">
            <v>5.4</v>
          </cell>
        </row>
        <row r="959">
          <cell r="B959">
            <v>45473</v>
          </cell>
          <cell r="J959" t="str">
            <v>Groceries</v>
          </cell>
          <cell r="O959">
            <v>7.2</v>
          </cell>
        </row>
        <row r="960">
          <cell r="B960">
            <v>45656</v>
          </cell>
          <cell r="J960" t="str">
            <v>Dairy</v>
          </cell>
          <cell r="O960">
            <v>25.5</v>
          </cell>
        </row>
        <row r="961">
          <cell r="B961">
            <v>45311</v>
          </cell>
          <cell r="J961" t="str">
            <v>Handicrafts</v>
          </cell>
          <cell r="O961">
            <v>228</v>
          </cell>
        </row>
        <row r="962">
          <cell r="B962">
            <v>45364</v>
          </cell>
          <cell r="J962" t="str">
            <v>Dairy</v>
          </cell>
          <cell r="O962">
            <v>21.59</v>
          </cell>
        </row>
        <row r="963">
          <cell r="B963">
            <v>45556</v>
          </cell>
          <cell r="J963" t="str">
            <v>Clothing</v>
          </cell>
          <cell r="O963">
            <v>51.3</v>
          </cell>
        </row>
        <row r="964">
          <cell r="B964">
            <v>45614</v>
          </cell>
          <cell r="J964" t="str">
            <v>Beverages</v>
          </cell>
          <cell r="O964">
            <v>2.04</v>
          </cell>
        </row>
        <row r="965">
          <cell r="B965">
            <v>45467</v>
          </cell>
          <cell r="J965" t="str">
            <v>Handicrafts</v>
          </cell>
          <cell r="O965">
            <v>535.5</v>
          </cell>
        </row>
        <row r="966">
          <cell r="B966">
            <v>45585</v>
          </cell>
          <cell r="J966" t="str">
            <v>Dairy</v>
          </cell>
          <cell r="O966">
            <v>38.5</v>
          </cell>
        </row>
        <row r="967">
          <cell r="B967">
            <v>45377</v>
          </cell>
          <cell r="J967" t="str">
            <v>Handicrafts</v>
          </cell>
          <cell r="O967">
            <v>63</v>
          </cell>
        </row>
        <row r="968">
          <cell r="B968">
            <v>45323</v>
          </cell>
          <cell r="J968" t="str">
            <v>Handicrafts</v>
          </cell>
          <cell r="O968">
            <v>532</v>
          </cell>
        </row>
        <row r="969">
          <cell r="B969">
            <v>45438</v>
          </cell>
          <cell r="J969" t="str">
            <v>Handicrafts</v>
          </cell>
          <cell r="O969">
            <v>560</v>
          </cell>
        </row>
        <row r="970">
          <cell r="B970">
            <v>45359</v>
          </cell>
          <cell r="J970" t="str">
            <v>Clothing</v>
          </cell>
          <cell r="O970">
            <v>360</v>
          </cell>
        </row>
        <row r="971">
          <cell r="B971">
            <v>45601</v>
          </cell>
          <cell r="J971" t="str">
            <v>Traditional Food</v>
          </cell>
          <cell r="O971">
            <v>2.82</v>
          </cell>
        </row>
        <row r="972">
          <cell r="B972">
            <v>45381</v>
          </cell>
          <cell r="J972" t="str">
            <v>Groceries</v>
          </cell>
          <cell r="O972">
            <v>6.93</v>
          </cell>
        </row>
        <row r="973">
          <cell r="B973">
            <v>45467</v>
          </cell>
          <cell r="J973" t="str">
            <v>Beverages</v>
          </cell>
          <cell r="O973">
            <v>2.25</v>
          </cell>
        </row>
        <row r="974">
          <cell r="B974">
            <v>45503</v>
          </cell>
          <cell r="J974" t="str">
            <v>Beverages</v>
          </cell>
          <cell r="O974">
            <v>13</v>
          </cell>
        </row>
        <row r="975">
          <cell r="B975">
            <v>45587</v>
          </cell>
          <cell r="J975" t="str">
            <v>Beverages</v>
          </cell>
          <cell r="O975">
            <v>9</v>
          </cell>
        </row>
        <row r="976">
          <cell r="B976">
            <v>45377</v>
          </cell>
          <cell r="J976" t="str">
            <v>Traditional Food</v>
          </cell>
          <cell r="O976">
            <v>37.5</v>
          </cell>
        </row>
        <row r="977">
          <cell r="B977">
            <v>45486</v>
          </cell>
          <cell r="J977" t="str">
            <v>Groceries</v>
          </cell>
          <cell r="O977">
            <v>26</v>
          </cell>
        </row>
        <row r="978">
          <cell r="B978">
            <v>45439</v>
          </cell>
          <cell r="J978" t="str">
            <v>Groceries</v>
          </cell>
          <cell r="O978">
            <v>18</v>
          </cell>
        </row>
        <row r="979">
          <cell r="B979">
            <v>45341</v>
          </cell>
          <cell r="J979" t="str">
            <v>Dairy</v>
          </cell>
          <cell r="O979">
            <v>56.7</v>
          </cell>
        </row>
        <row r="980">
          <cell r="B980">
            <v>45463</v>
          </cell>
          <cell r="J980" t="str">
            <v>Groceries</v>
          </cell>
          <cell r="O980">
            <v>10.8</v>
          </cell>
        </row>
        <row r="981">
          <cell r="B981">
            <v>45637</v>
          </cell>
          <cell r="J981" t="str">
            <v>Groceries</v>
          </cell>
          <cell r="O981">
            <v>20.16</v>
          </cell>
        </row>
        <row r="982">
          <cell r="B982">
            <v>45638</v>
          </cell>
          <cell r="J982" t="str">
            <v>Beverages</v>
          </cell>
          <cell r="O982">
            <v>9</v>
          </cell>
        </row>
        <row r="983">
          <cell r="B983">
            <v>45298</v>
          </cell>
          <cell r="J983" t="str">
            <v>Traditional Food</v>
          </cell>
          <cell r="O983">
            <v>7</v>
          </cell>
        </row>
        <row r="984">
          <cell r="B984">
            <v>45404</v>
          </cell>
          <cell r="J984" t="str">
            <v>Groceries</v>
          </cell>
          <cell r="O984">
            <v>9</v>
          </cell>
        </row>
        <row r="985">
          <cell r="B985">
            <v>45596</v>
          </cell>
          <cell r="J985" t="str">
            <v>Traditional Food</v>
          </cell>
          <cell r="O985">
            <v>6.65</v>
          </cell>
        </row>
        <row r="986">
          <cell r="B986">
            <v>45601</v>
          </cell>
          <cell r="J986" t="str">
            <v>Traditional Food</v>
          </cell>
          <cell r="O986">
            <v>12.5</v>
          </cell>
        </row>
        <row r="987">
          <cell r="B987">
            <v>45648</v>
          </cell>
          <cell r="J987" t="str">
            <v>Beverages</v>
          </cell>
          <cell r="O987">
            <v>4.5</v>
          </cell>
        </row>
        <row r="988">
          <cell r="B988">
            <v>45433</v>
          </cell>
          <cell r="J988" t="str">
            <v>Traditional Food</v>
          </cell>
          <cell r="O988">
            <v>12.6</v>
          </cell>
        </row>
        <row r="989">
          <cell r="B989">
            <v>45374</v>
          </cell>
          <cell r="J989" t="str">
            <v>Handicrafts</v>
          </cell>
          <cell r="O989">
            <v>24</v>
          </cell>
        </row>
        <row r="990">
          <cell r="B990">
            <v>45322</v>
          </cell>
          <cell r="J990" t="str">
            <v>Groceries</v>
          </cell>
          <cell r="O990">
            <v>21.42</v>
          </cell>
        </row>
        <row r="991">
          <cell r="B991">
            <v>45394</v>
          </cell>
          <cell r="J991" t="str">
            <v>Traditional Food</v>
          </cell>
          <cell r="O991">
            <v>20</v>
          </cell>
        </row>
        <row r="992">
          <cell r="B992">
            <v>45568</v>
          </cell>
          <cell r="J992" t="str">
            <v>Traditional Food</v>
          </cell>
          <cell r="O992">
            <v>35</v>
          </cell>
        </row>
        <row r="993">
          <cell r="B993">
            <v>45344</v>
          </cell>
          <cell r="J993" t="str">
            <v>Groceries</v>
          </cell>
          <cell r="O993">
            <v>1.8</v>
          </cell>
        </row>
        <row r="994">
          <cell r="B994">
            <v>45301</v>
          </cell>
          <cell r="J994" t="str">
            <v>Clothing</v>
          </cell>
          <cell r="O994">
            <v>288</v>
          </cell>
        </row>
        <row r="995">
          <cell r="B995">
            <v>45428</v>
          </cell>
          <cell r="J995" t="str">
            <v>Traditional Food</v>
          </cell>
          <cell r="O995">
            <v>2.25</v>
          </cell>
        </row>
        <row r="996">
          <cell r="B996">
            <v>45536</v>
          </cell>
          <cell r="J996" t="str">
            <v>Traditional Food</v>
          </cell>
          <cell r="O996">
            <v>7</v>
          </cell>
        </row>
        <row r="997">
          <cell r="B997">
            <v>45293</v>
          </cell>
          <cell r="J997" t="str">
            <v>Traditional Food</v>
          </cell>
          <cell r="O997">
            <v>11.7</v>
          </cell>
        </row>
        <row r="998">
          <cell r="B998">
            <v>45462</v>
          </cell>
          <cell r="J998" t="str">
            <v>Traditional Food</v>
          </cell>
          <cell r="O998">
            <v>25</v>
          </cell>
        </row>
        <row r="999">
          <cell r="B999">
            <v>45565</v>
          </cell>
          <cell r="J999" t="str">
            <v>Traditional Food</v>
          </cell>
          <cell r="O999">
            <v>11</v>
          </cell>
        </row>
        <row r="1000">
          <cell r="B1000">
            <v>45382</v>
          </cell>
          <cell r="J1000" t="str">
            <v>Handicrafts</v>
          </cell>
          <cell r="O1000">
            <v>630</v>
          </cell>
        </row>
        <row r="1001">
          <cell r="B1001">
            <v>45648</v>
          </cell>
          <cell r="J1001" t="str">
            <v>Beverages</v>
          </cell>
          <cell r="O1001">
            <v>19.5</v>
          </cell>
        </row>
        <row r="1002">
          <cell r="B1002">
            <v>45615</v>
          </cell>
          <cell r="J1002" t="str">
            <v>Dairy</v>
          </cell>
          <cell r="O1002">
            <v>20.25</v>
          </cell>
        </row>
        <row r="1003">
          <cell r="B1003">
            <v>45595</v>
          </cell>
          <cell r="J1003" t="str">
            <v>Beverages</v>
          </cell>
          <cell r="O1003">
            <v>12</v>
          </cell>
        </row>
        <row r="1004">
          <cell r="B1004">
            <v>45547</v>
          </cell>
          <cell r="J1004" t="str">
            <v>Groceries</v>
          </cell>
          <cell r="O1004">
            <v>30.6</v>
          </cell>
        </row>
        <row r="1005">
          <cell r="B1005">
            <v>45465</v>
          </cell>
          <cell r="J1005" t="str">
            <v>Traditional Food</v>
          </cell>
          <cell r="O1005">
            <v>1</v>
          </cell>
        </row>
        <row r="1006">
          <cell r="B1006">
            <v>45400</v>
          </cell>
          <cell r="J1006" t="str">
            <v>Groceries</v>
          </cell>
          <cell r="O1006">
            <v>47.6</v>
          </cell>
        </row>
        <row r="1007">
          <cell r="B1007">
            <v>45588</v>
          </cell>
          <cell r="J1007" t="str">
            <v>Groceries</v>
          </cell>
          <cell r="O1007">
            <v>16</v>
          </cell>
        </row>
        <row r="1008">
          <cell r="B1008">
            <v>45533</v>
          </cell>
          <cell r="J1008" t="str">
            <v>Dairy</v>
          </cell>
          <cell r="O1008">
            <v>30</v>
          </cell>
        </row>
        <row r="1009">
          <cell r="B1009">
            <v>45380</v>
          </cell>
          <cell r="J1009" t="str">
            <v>Beverages</v>
          </cell>
          <cell r="O1009">
            <v>2</v>
          </cell>
        </row>
        <row r="1010">
          <cell r="B1010">
            <v>45594</v>
          </cell>
          <cell r="J1010" t="str">
            <v>Groceries</v>
          </cell>
          <cell r="O1010">
            <v>2.31</v>
          </cell>
        </row>
        <row r="1011">
          <cell r="B1011">
            <v>45324</v>
          </cell>
          <cell r="J1011" t="str">
            <v>Dairy</v>
          </cell>
          <cell r="O1011">
            <v>10.5</v>
          </cell>
        </row>
        <row r="1012">
          <cell r="B1012">
            <v>45353</v>
          </cell>
          <cell r="J1012" t="str">
            <v>Groceries</v>
          </cell>
          <cell r="O1012">
            <v>50.54</v>
          </cell>
        </row>
        <row r="1013">
          <cell r="B1013">
            <v>45595</v>
          </cell>
          <cell r="J1013" t="str">
            <v>Beverages</v>
          </cell>
          <cell r="O1013">
            <v>9</v>
          </cell>
        </row>
        <row r="1014">
          <cell r="B1014">
            <v>45378</v>
          </cell>
          <cell r="J1014" t="str">
            <v>Beverages</v>
          </cell>
          <cell r="O1014">
            <v>11.4</v>
          </cell>
        </row>
        <row r="1015">
          <cell r="B1015">
            <v>45343</v>
          </cell>
          <cell r="J1015" t="str">
            <v>Traditional Food</v>
          </cell>
          <cell r="O1015">
            <v>10</v>
          </cell>
        </row>
        <row r="1016">
          <cell r="B1016">
            <v>45295</v>
          </cell>
          <cell r="J1016" t="str">
            <v>Dairy</v>
          </cell>
          <cell r="O1016">
            <v>1.5</v>
          </cell>
        </row>
        <row r="1017">
          <cell r="B1017">
            <v>45647</v>
          </cell>
          <cell r="J1017" t="str">
            <v>Handicrafts</v>
          </cell>
          <cell r="O1017">
            <v>504</v>
          </cell>
        </row>
        <row r="1018">
          <cell r="B1018">
            <v>45502</v>
          </cell>
          <cell r="J1018" t="str">
            <v>Clothing</v>
          </cell>
          <cell r="O1018">
            <v>144</v>
          </cell>
        </row>
        <row r="1019">
          <cell r="B1019">
            <v>45605</v>
          </cell>
          <cell r="J1019" t="str">
            <v>Beverages</v>
          </cell>
          <cell r="O1019">
            <v>2.04</v>
          </cell>
        </row>
        <row r="1020">
          <cell r="B1020">
            <v>45294</v>
          </cell>
          <cell r="J1020" t="str">
            <v>Handicrafts</v>
          </cell>
          <cell r="O1020">
            <v>216</v>
          </cell>
        </row>
        <row r="1021">
          <cell r="B1021">
            <v>45568</v>
          </cell>
          <cell r="J1021" t="str">
            <v>Traditional Food</v>
          </cell>
          <cell r="O1021">
            <v>42.5</v>
          </cell>
        </row>
        <row r="1022">
          <cell r="B1022">
            <v>45319</v>
          </cell>
          <cell r="J1022" t="str">
            <v>Beverages</v>
          </cell>
          <cell r="O1022">
            <v>10.5</v>
          </cell>
        </row>
        <row r="1023">
          <cell r="B1023">
            <v>45382</v>
          </cell>
          <cell r="J1023" t="str">
            <v>Dairy</v>
          </cell>
          <cell r="O1023">
            <v>8.1</v>
          </cell>
        </row>
        <row r="1024">
          <cell r="B1024">
            <v>45399</v>
          </cell>
          <cell r="J1024" t="str">
            <v>Handicrafts</v>
          </cell>
          <cell r="O1024">
            <v>168</v>
          </cell>
        </row>
        <row r="1025">
          <cell r="B1025">
            <v>45345</v>
          </cell>
          <cell r="J1025" t="str">
            <v>Groceries</v>
          </cell>
          <cell r="O1025">
            <v>1.7</v>
          </cell>
        </row>
        <row r="1026">
          <cell r="B1026">
            <v>45555</v>
          </cell>
          <cell r="J1026" t="str">
            <v>Traditional Food</v>
          </cell>
          <cell r="O1026">
            <v>2</v>
          </cell>
        </row>
        <row r="1027">
          <cell r="B1027">
            <v>45506</v>
          </cell>
          <cell r="J1027" t="str">
            <v>Groceries</v>
          </cell>
          <cell r="O1027">
            <v>5.67</v>
          </cell>
        </row>
        <row r="1028">
          <cell r="B1028">
            <v>45458</v>
          </cell>
          <cell r="J1028" t="str">
            <v>Beverages</v>
          </cell>
          <cell r="O1028">
            <v>6</v>
          </cell>
        </row>
        <row r="1029">
          <cell r="B1029">
            <v>45404</v>
          </cell>
          <cell r="J1029" t="str">
            <v>Beverages</v>
          </cell>
          <cell r="O1029">
            <v>4.5</v>
          </cell>
        </row>
        <row r="1030">
          <cell r="B1030">
            <v>45402</v>
          </cell>
          <cell r="J1030" t="str">
            <v>Groceries</v>
          </cell>
          <cell r="O1030">
            <v>24</v>
          </cell>
        </row>
        <row r="1031">
          <cell r="B1031">
            <v>45391</v>
          </cell>
          <cell r="J1031" t="str">
            <v>Beverages</v>
          </cell>
          <cell r="O1031">
            <v>12</v>
          </cell>
        </row>
        <row r="1032">
          <cell r="B1032">
            <v>45435</v>
          </cell>
          <cell r="J1032" t="str">
            <v>Traditional Food</v>
          </cell>
          <cell r="O1032">
            <v>2.5</v>
          </cell>
        </row>
        <row r="1033">
          <cell r="B1033">
            <v>45467</v>
          </cell>
          <cell r="J1033" t="str">
            <v>Groceries</v>
          </cell>
          <cell r="O1033">
            <v>9.6</v>
          </cell>
        </row>
        <row r="1034">
          <cell r="B1034">
            <v>45336</v>
          </cell>
          <cell r="J1034" t="str">
            <v>Beverages</v>
          </cell>
          <cell r="O1034">
            <v>8.9600000000000009</v>
          </cell>
        </row>
        <row r="1035">
          <cell r="B1035">
            <v>45528</v>
          </cell>
          <cell r="J1035" t="str">
            <v>Beverages</v>
          </cell>
          <cell r="O1035">
            <v>13.5</v>
          </cell>
        </row>
        <row r="1036">
          <cell r="B1036">
            <v>45459</v>
          </cell>
          <cell r="J1036" t="str">
            <v>Beverages</v>
          </cell>
          <cell r="O1036">
            <v>9.94</v>
          </cell>
        </row>
        <row r="1037">
          <cell r="B1037">
            <v>45505</v>
          </cell>
          <cell r="J1037" t="str">
            <v>Beverages</v>
          </cell>
          <cell r="O1037">
            <v>2</v>
          </cell>
        </row>
        <row r="1038">
          <cell r="B1038">
            <v>45509</v>
          </cell>
          <cell r="J1038" t="str">
            <v>Dairy</v>
          </cell>
          <cell r="O1038">
            <v>59.5</v>
          </cell>
        </row>
        <row r="1039">
          <cell r="B1039">
            <v>45545</v>
          </cell>
          <cell r="J1039" t="str">
            <v>Traditional Food</v>
          </cell>
          <cell r="O1039">
            <v>20</v>
          </cell>
        </row>
        <row r="1040">
          <cell r="B1040">
            <v>45359</v>
          </cell>
          <cell r="J1040" t="str">
            <v>Groceries</v>
          </cell>
          <cell r="O1040">
            <v>14.4</v>
          </cell>
        </row>
        <row r="1041">
          <cell r="B1041">
            <v>45634</v>
          </cell>
          <cell r="J1041" t="str">
            <v>Traditional Food</v>
          </cell>
          <cell r="O1041">
            <v>5</v>
          </cell>
        </row>
        <row r="1042">
          <cell r="B1042">
            <v>45529</v>
          </cell>
          <cell r="J1042" t="str">
            <v>Traditional Food</v>
          </cell>
          <cell r="O1042">
            <v>2.1</v>
          </cell>
        </row>
        <row r="1043">
          <cell r="B1043">
            <v>45652</v>
          </cell>
          <cell r="J1043" t="str">
            <v>Handicrafts</v>
          </cell>
          <cell r="O1043">
            <v>10.199999999999999</v>
          </cell>
        </row>
        <row r="1044">
          <cell r="B1044">
            <v>45443</v>
          </cell>
          <cell r="J1044" t="str">
            <v>Handicrafts</v>
          </cell>
          <cell r="O1044">
            <v>95.2</v>
          </cell>
        </row>
        <row r="1045">
          <cell r="B1045">
            <v>45642</v>
          </cell>
          <cell r="J1045" t="str">
            <v>Groceries</v>
          </cell>
          <cell r="O1045">
            <v>5.7</v>
          </cell>
        </row>
        <row r="1046">
          <cell r="B1046">
            <v>45318</v>
          </cell>
          <cell r="J1046" t="str">
            <v>Traditional Food</v>
          </cell>
          <cell r="O1046">
            <v>2</v>
          </cell>
        </row>
        <row r="1047">
          <cell r="B1047">
            <v>45479</v>
          </cell>
          <cell r="J1047" t="str">
            <v>Traditional Food</v>
          </cell>
          <cell r="O1047">
            <v>2.7</v>
          </cell>
        </row>
        <row r="1048">
          <cell r="B1048">
            <v>45362</v>
          </cell>
          <cell r="J1048" t="str">
            <v>Groceries</v>
          </cell>
          <cell r="O1048">
            <v>22</v>
          </cell>
        </row>
        <row r="1049">
          <cell r="B1049">
            <v>45407</v>
          </cell>
          <cell r="J1049" t="str">
            <v>Dairy</v>
          </cell>
          <cell r="O1049">
            <v>16.5</v>
          </cell>
        </row>
        <row r="1050">
          <cell r="B1050">
            <v>45319</v>
          </cell>
          <cell r="J1050" t="str">
            <v>Groceries</v>
          </cell>
          <cell r="O1050">
            <v>3.6</v>
          </cell>
        </row>
        <row r="1051">
          <cell r="B1051">
            <v>45532</v>
          </cell>
          <cell r="J1051" t="str">
            <v>Dairy</v>
          </cell>
          <cell r="O1051">
            <v>56.7</v>
          </cell>
        </row>
        <row r="1052">
          <cell r="B1052">
            <v>45609</v>
          </cell>
          <cell r="J1052" t="str">
            <v>Handicrafts</v>
          </cell>
          <cell r="O1052">
            <v>357</v>
          </cell>
        </row>
        <row r="1053">
          <cell r="B1053">
            <v>45526</v>
          </cell>
          <cell r="J1053" t="str">
            <v>Traditional Food</v>
          </cell>
          <cell r="O1053">
            <v>3</v>
          </cell>
        </row>
        <row r="1054">
          <cell r="B1054">
            <v>45347</v>
          </cell>
          <cell r="J1054" t="str">
            <v>Handicrafts</v>
          </cell>
          <cell r="O1054">
            <v>210</v>
          </cell>
        </row>
        <row r="1055">
          <cell r="B1055">
            <v>45396</v>
          </cell>
          <cell r="J1055" t="str">
            <v>Dairy</v>
          </cell>
          <cell r="O1055">
            <v>22.95</v>
          </cell>
        </row>
        <row r="1056">
          <cell r="B1056">
            <v>45534</v>
          </cell>
          <cell r="J1056" t="str">
            <v>Groceries</v>
          </cell>
          <cell r="O1056">
            <v>24</v>
          </cell>
        </row>
        <row r="1057">
          <cell r="B1057">
            <v>45388</v>
          </cell>
          <cell r="J1057" t="str">
            <v>Traditional Food</v>
          </cell>
          <cell r="O1057">
            <v>1.5</v>
          </cell>
        </row>
        <row r="1058">
          <cell r="B1058">
            <v>45502</v>
          </cell>
          <cell r="J1058" t="str">
            <v>Dairy</v>
          </cell>
          <cell r="O1058">
            <v>66.5</v>
          </cell>
        </row>
        <row r="1059">
          <cell r="B1059">
            <v>45595</v>
          </cell>
          <cell r="J1059" t="str">
            <v>Handicrafts</v>
          </cell>
          <cell r="O1059">
            <v>115.6</v>
          </cell>
        </row>
        <row r="1060">
          <cell r="B1060">
            <v>45448</v>
          </cell>
          <cell r="J1060" t="str">
            <v>Handicrafts</v>
          </cell>
          <cell r="O1060">
            <v>178.5</v>
          </cell>
        </row>
        <row r="1061">
          <cell r="B1061">
            <v>45316</v>
          </cell>
          <cell r="J1061" t="str">
            <v>Handicrafts</v>
          </cell>
          <cell r="O1061">
            <v>60</v>
          </cell>
        </row>
        <row r="1062">
          <cell r="B1062">
            <v>45656</v>
          </cell>
          <cell r="J1062" t="str">
            <v>Beverages</v>
          </cell>
          <cell r="O1062">
            <v>13.5</v>
          </cell>
        </row>
        <row r="1063">
          <cell r="B1063">
            <v>45413</v>
          </cell>
          <cell r="J1063" t="str">
            <v>Beverages</v>
          </cell>
          <cell r="O1063">
            <v>4</v>
          </cell>
        </row>
        <row r="1064">
          <cell r="B1064">
            <v>45425</v>
          </cell>
          <cell r="J1064" t="str">
            <v>Beverages</v>
          </cell>
          <cell r="O1064">
            <v>12</v>
          </cell>
        </row>
        <row r="1065">
          <cell r="B1065">
            <v>45468</v>
          </cell>
          <cell r="J1065" t="str">
            <v>Traditional Food</v>
          </cell>
          <cell r="O1065">
            <v>2.5</v>
          </cell>
        </row>
        <row r="1066">
          <cell r="B1066">
            <v>45354</v>
          </cell>
          <cell r="J1066" t="str">
            <v>Beverages</v>
          </cell>
          <cell r="O1066">
            <v>0.75</v>
          </cell>
        </row>
        <row r="1067">
          <cell r="B1067">
            <v>45455</v>
          </cell>
          <cell r="J1067" t="str">
            <v>Beverages</v>
          </cell>
          <cell r="O1067">
            <v>5</v>
          </cell>
        </row>
        <row r="1068">
          <cell r="B1068">
            <v>45623</v>
          </cell>
          <cell r="J1068" t="str">
            <v>Dairy</v>
          </cell>
          <cell r="O1068">
            <v>35</v>
          </cell>
        </row>
        <row r="1069">
          <cell r="B1069">
            <v>45465</v>
          </cell>
          <cell r="J1069" t="str">
            <v>Beverages</v>
          </cell>
          <cell r="O1069">
            <v>3.6</v>
          </cell>
        </row>
        <row r="1070">
          <cell r="B1070">
            <v>45449</v>
          </cell>
          <cell r="J1070" t="str">
            <v>Beverages</v>
          </cell>
          <cell r="O1070">
            <v>1</v>
          </cell>
        </row>
        <row r="1071">
          <cell r="B1071">
            <v>45339</v>
          </cell>
          <cell r="J1071" t="str">
            <v>Groceries</v>
          </cell>
          <cell r="O1071">
            <v>9.9</v>
          </cell>
        </row>
        <row r="1072">
          <cell r="B1072">
            <v>45434</v>
          </cell>
          <cell r="J1072" t="str">
            <v>Dairy</v>
          </cell>
          <cell r="O1072">
            <v>24.5</v>
          </cell>
        </row>
        <row r="1073">
          <cell r="B1073">
            <v>45554</v>
          </cell>
          <cell r="J1073" t="str">
            <v>Groceries</v>
          </cell>
          <cell r="O1073">
            <v>11.7</v>
          </cell>
        </row>
        <row r="1074">
          <cell r="B1074">
            <v>45633</v>
          </cell>
          <cell r="J1074" t="str">
            <v>Dairy</v>
          </cell>
          <cell r="O1074">
            <v>42</v>
          </cell>
        </row>
        <row r="1075">
          <cell r="B1075">
            <v>45489</v>
          </cell>
          <cell r="J1075" t="str">
            <v>Groceries</v>
          </cell>
          <cell r="O1075">
            <v>14.4</v>
          </cell>
        </row>
        <row r="1076">
          <cell r="B1076">
            <v>45579</v>
          </cell>
          <cell r="J1076" t="str">
            <v>Handicrafts</v>
          </cell>
          <cell r="O1076">
            <v>105</v>
          </cell>
        </row>
        <row r="1077">
          <cell r="B1077">
            <v>45439</v>
          </cell>
          <cell r="J1077" t="str">
            <v>Groceries</v>
          </cell>
          <cell r="O1077">
            <v>6.12</v>
          </cell>
        </row>
        <row r="1078">
          <cell r="B1078">
            <v>45363</v>
          </cell>
          <cell r="J1078" t="str">
            <v>Groceries</v>
          </cell>
          <cell r="O1078">
            <v>21.66</v>
          </cell>
        </row>
        <row r="1079">
          <cell r="B1079">
            <v>45560</v>
          </cell>
          <cell r="J1079" t="str">
            <v>Handicrafts</v>
          </cell>
          <cell r="O1079">
            <v>385</v>
          </cell>
        </row>
        <row r="1080">
          <cell r="B1080">
            <v>45295</v>
          </cell>
          <cell r="J1080" t="str">
            <v>Groceries</v>
          </cell>
          <cell r="O1080">
            <v>35.28</v>
          </cell>
        </row>
        <row r="1081">
          <cell r="B1081">
            <v>45655</v>
          </cell>
          <cell r="J1081" t="str">
            <v>Beverages</v>
          </cell>
          <cell r="O1081">
            <v>12.16</v>
          </cell>
        </row>
        <row r="1082">
          <cell r="B1082">
            <v>45440</v>
          </cell>
          <cell r="J1082" t="str">
            <v>Beverages</v>
          </cell>
          <cell r="O1082">
            <v>13.5</v>
          </cell>
        </row>
        <row r="1083">
          <cell r="B1083">
            <v>45544</v>
          </cell>
          <cell r="J1083" t="str">
            <v>Handicrafts</v>
          </cell>
          <cell r="O1083">
            <v>567</v>
          </cell>
        </row>
        <row r="1084">
          <cell r="B1084">
            <v>45426</v>
          </cell>
          <cell r="J1084" t="str">
            <v>Traditional Food</v>
          </cell>
          <cell r="O1084">
            <v>4.5</v>
          </cell>
        </row>
        <row r="1085">
          <cell r="B1085">
            <v>45505</v>
          </cell>
          <cell r="J1085" t="str">
            <v>Traditional Food</v>
          </cell>
          <cell r="O1085">
            <v>15</v>
          </cell>
        </row>
        <row r="1086">
          <cell r="B1086">
            <v>45353</v>
          </cell>
          <cell r="J1086" t="str">
            <v>Beverages</v>
          </cell>
          <cell r="O1086">
            <v>6.75</v>
          </cell>
        </row>
        <row r="1087">
          <cell r="B1087">
            <v>45581</v>
          </cell>
          <cell r="J1087" t="str">
            <v>Handicrafts</v>
          </cell>
          <cell r="O1087">
            <v>142.80000000000001</v>
          </cell>
        </row>
        <row r="1088">
          <cell r="B1088">
            <v>45483</v>
          </cell>
          <cell r="J1088" t="str">
            <v>Dairy</v>
          </cell>
          <cell r="O1088">
            <v>22.95</v>
          </cell>
        </row>
        <row r="1089">
          <cell r="B1089">
            <v>45589</v>
          </cell>
          <cell r="J1089" t="str">
            <v>Clothing</v>
          </cell>
          <cell r="O1089">
            <v>36</v>
          </cell>
        </row>
        <row r="1090">
          <cell r="B1090">
            <v>45375</v>
          </cell>
          <cell r="J1090" t="str">
            <v>Beverages</v>
          </cell>
          <cell r="O1090">
            <v>2</v>
          </cell>
        </row>
        <row r="1091">
          <cell r="B1091">
            <v>45440</v>
          </cell>
          <cell r="J1091" t="str">
            <v>Handicrafts</v>
          </cell>
          <cell r="O1091">
            <v>114</v>
          </cell>
        </row>
        <row r="1092">
          <cell r="B1092">
            <v>45613</v>
          </cell>
          <cell r="J1092" t="str">
            <v>Dairy</v>
          </cell>
          <cell r="O1092">
            <v>17.88</v>
          </cell>
        </row>
        <row r="1093">
          <cell r="B1093">
            <v>45453</v>
          </cell>
          <cell r="J1093" t="str">
            <v>Beverages</v>
          </cell>
          <cell r="O1093">
            <v>7.5</v>
          </cell>
        </row>
        <row r="1094">
          <cell r="B1094">
            <v>45565</v>
          </cell>
          <cell r="J1094" t="str">
            <v>Handicrafts</v>
          </cell>
          <cell r="O1094">
            <v>228</v>
          </cell>
        </row>
        <row r="1095">
          <cell r="B1095">
            <v>45482</v>
          </cell>
          <cell r="J1095" t="str">
            <v>Beverages</v>
          </cell>
          <cell r="O1095">
            <v>16</v>
          </cell>
        </row>
        <row r="1096">
          <cell r="B1096">
            <v>45403</v>
          </cell>
          <cell r="J1096" t="str">
            <v>Beverages</v>
          </cell>
          <cell r="O1096">
            <v>3.55</v>
          </cell>
        </row>
        <row r="1097">
          <cell r="B1097">
            <v>45505</v>
          </cell>
          <cell r="J1097" t="str">
            <v>Groceries</v>
          </cell>
          <cell r="O1097">
            <v>30</v>
          </cell>
        </row>
        <row r="1098">
          <cell r="B1098">
            <v>45470</v>
          </cell>
          <cell r="J1098" t="str">
            <v>Traditional Food</v>
          </cell>
          <cell r="O1098">
            <v>4.5</v>
          </cell>
        </row>
        <row r="1099">
          <cell r="B1099">
            <v>45380</v>
          </cell>
          <cell r="J1099" t="str">
            <v>Groceries</v>
          </cell>
          <cell r="O1099">
            <v>9</v>
          </cell>
        </row>
        <row r="1100">
          <cell r="B1100">
            <v>45647</v>
          </cell>
          <cell r="J1100" t="str">
            <v>Beverages</v>
          </cell>
          <cell r="O1100">
            <v>3.4</v>
          </cell>
        </row>
        <row r="1101">
          <cell r="B1101">
            <v>45332</v>
          </cell>
          <cell r="J1101" t="str">
            <v>Beverages</v>
          </cell>
          <cell r="O1101">
            <v>18.899999999999999</v>
          </cell>
        </row>
        <row r="1102">
          <cell r="B1102">
            <v>45539</v>
          </cell>
          <cell r="J1102" t="str">
            <v>Traditional Food</v>
          </cell>
          <cell r="O1102">
            <v>14</v>
          </cell>
        </row>
        <row r="1103">
          <cell r="B1103">
            <v>45532</v>
          </cell>
          <cell r="J1103" t="str">
            <v>Dairy</v>
          </cell>
          <cell r="O1103">
            <v>14</v>
          </cell>
        </row>
        <row r="1104">
          <cell r="B1104">
            <v>45355</v>
          </cell>
          <cell r="J1104" t="str">
            <v>Traditional Food</v>
          </cell>
          <cell r="O1104">
            <v>10</v>
          </cell>
        </row>
        <row r="1105">
          <cell r="B1105">
            <v>45306</v>
          </cell>
          <cell r="J1105" t="str">
            <v>Beverages</v>
          </cell>
          <cell r="O1105">
            <v>2.25</v>
          </cell>
        </row>
        <row r="1106">
          <cell r="B1106">
            <v>45472</v>
          </cell>
          <cell r="J1106" t="str">
            <v>Clothing</v>
          </cell>
          <cell r="O1106">
            <v>91.8</v>
          </cell>
        </row>
        <row r="1107">
          <cell r="B1107">
            <v>45342</v>
          </cell>
          <cell r="J1107" t="str">
            <v>Beverages</v>
          </cell>
          <cell r="O1107">
            <v>12.16</v>
          </cell>
        </row>
        <row r="1108">
          <cell r="B1108">
            <v>45379</v>
          </cell>
          <cell r="J1108" t="str">
            <v>Beverages</v>
          </cell>
          <cell r="O1108">
            <v>27</v>
          </cell>
        </row>
        <row r="1109">
          <cell r="B1109">
            <v>45479</v>
          </cell>
          <cell r="J1109" t="str">
            <v>Beverages</v>
          </cell>
          <cell r="O1109">
            <v>28.5</v>
          </cell>
        </row>
        <row r="1110">
          <cell r="B1110">
            <v>45473</v>
          </cell>
          <cell r="J1110" t="str">
            <v>Traditional Food</v>
          </cell>
          <cell r="O1110">
            <v>32.5</v>
          </cell>
        </row>
        <row r="1111">
          <cell r="B1111">
            <v>45452</v>
          </cell>
          <cell r="J1111" t="str">
            <v>Groceries</v>
          </cell>
          <cell r="O1111">
            <v>4.8</v>
          </cell>
        </row>
        <row r="1112">
          <cell r="B1112">
            <v>45652</v>
          </cell>
          <cell r="J1112" t="str">
            <v>Dairy</v>
          </cell>
          <cell r="O1112">
            <v>14.2</v>
          </cell>
        </row>
        <row r="1113">
          <cell r="B1113">
            <v>45351</v>
          </cell>
          <cell r="J1113" t="str">
            <v>Handicrafts</v>
          </cell>
          <cell r="O1113">
            <v>104</v>
          </cell>
        </row>
        <row r="1114">
          <cell r="B1114">
            <v>45407</v>
          </cell>
          <cell r="J1114" t="str">
            <v>Handicrafts</v>
          </cell>
          <cell r="O1114">
            <v>630</v>
          </cell>
        </row>
        <row r="1115">
          <cell r="B1115">
            <v>45327</v>
          </cell>
          <cell r="J1115" t="str">
            <v>Groceries</v>
          </cell>
          <cell r="O1115">
            <v>17.28</v>
          </cell>
        </row>
        <row r="1116">
          <cell r="B1116">
            <v>45494</v>
          </cell>
          <cell r="J1116" t="str">
            <v>Dairy</v>
          </cell>
          <cell r="O1116">
            <v>21.3</v>
          </cell>
        </row>
        <row r="1117">
          <cell r="B1117">
            <v>45494</v>
          </cell>
          <cell r="J1117" t="str">
            <v>Traditional Food</v>
          </cell>
          <cell r="O1117">
            <v>29.25</v>
          </cell>
        </row>
        <row r="1118">
          <cell r="B1118">
            <v>45478</v>
          </cell>
          <cell r="J1118" t="str">
            <v>Beverages</v>
          </cell>
          <cell r="O1118">
            <v>5.25</v>
          </cell>
        </row>
        <row r="1119">
          <cell r="B1119">
            <v>45411</v>
          </cell>
          <cell r="J1119" t="str">
            <v>Groceries</v>
          </cell>
          <cell r="O1119">
            <v>35.28</v>
          </cell>
        </row>
        <row r="1120">
          <cell r="B1120">
            <v>45474</v>
          </cell>
          <cell r="J1120" t="str">
            <v>Clothing</v>
          </cell>
          <cell r="O1120">
            <v>259.2</v>
          </cell>
        </row>
        <row r="1121">
          <cell r="B1121">
            <v>45367</v>
          </cell>
          <cell r="J1121" t="str">
            <v>Dairy</v>
          </cell>
          <cell r="O1121">
            <v>22.5</v>
          </cell>
        </row>
        <row r="1122">
          <cell r="B1122">
            <v>45613</v>
          </cell>
          <cell r="J1122" t="str">
            <v>Dairy</v>
          </cell>
          <cell r="O1122">
            <v>7.5</v>
          </cell>
        </row>
        <row r="1123">
          <cell r="B1123">
            <v>45639</v>
          </cell>
          <cell r="J1123" t="str">
            <v>Traditional Food</v>
          </cell>
          <cell r="O1123">
            <v>1</v>
          </cell>
        </row>
        <row r="1124">
          <cell r="B1124">
            <v>45447</v>
          </cell>
          <cell r="J1124" t="str">
            <v>Handicrafts</v>
          </cell>
          <cell r="O1124">
            <v>152</v>
          </cell>
        </row>
        <row r="1125">
          <cell r="B1125">
            <v>45530</v>
          </cell>
          <cell r="J1125" t="str">
            <v>Dairy</v>
          </cell>
          <cell r="O1125">
            <v>24.5</v>
          </cell>
        </row>
        <row r="1126">
          <cell r="B1126">
            <v>45569</v>
          </cell>
          <cell r="J1126" t="str">
            <v>Dairy</v>
          </cell>
          <cell r="O1126">
            <v>32.78</v>
          </cell>
        </row>
        <row r="1127">
          <cell r="B1127">
            <v>45512</v>
          </cell>
          <cell r="J1127" t="str">
            <v>Traditional Food</v>
          </cell>
          <cell r="O1127">
            <v>2</v>
          </cell>
        </row>
        <row r="1128">
          <cell r="B1128">
            <v>45527</v>
          </cell>
          <cell r="J1128" t="str">
            <v>Groceries</v>
          </cell>
          <cell r="O1128">
            <v>5.6</v>
          </cell>
        </row>
        <row r="1129">
          <cell r="B1129">
            <v>45543</v>
          </cell>
          <cell r="J1129" t="str">
            <v>Handicrafts</v>
          </cell>
          <cell r="O1129">
            <v>490</v>
          </cell>
        </row>
        <row r="1130">
          <cell r="B1130">
            <v>45583</v>
          </cell>
          <cell r="J1130" t="str">
            <v>Dairy</v>
          </cell>
          <cell r="O1130">
            <v>21.6</v>
          </cell>
        </row>
        <row r="1131">
          <cell r="B1131">
            <v>45579</v>
          </cell>
          <cell r="J1131" t="str">
            <v>Dairy</v>
          </cell>
          <cell r="O1131">
            <v>8.52</v>
          </cell>
        </row>
        <row r="1132">
          <cell r="B1132">
            <v>45607</v>
          </cell>
          <cell r="J1132" t="str">
            <v>Dairy</v>
          </cell>
          <cell r="O1132">
            <v>15.24</v>
          </cell>
        </row>
        <row r="1133">
          <cell r="B1133">
            <v>45594</v>
          </cell>
          <cell r="J1133" t="str">
            <v>Traditional Food</v>
          </cell>
          <cell r="O1133">
            <v>1</v>
          </cell>
        </row>
        <row r="1134">
          <cell r="B1134">
            <v>45486</v>
          </cell>
          <cell r="J1134" t="str">
            <v>Traditional Food</v>
          </cell>
          <cell r="O1134">
            <v>2</v>
          </cell>
        </row>
        <row r="1135">
          <cell r="B1135">
            <v>45320</v>
          </cell>
          <cell r="J1135" t="str">
            <v>Groceries</v>
          </cell>
          <cell r="O1135">
            <v>9.6</v>
          </cell>
        </row>
        <row r="1136">
          <cell r="B1136">
            <v>45448</v>
          </cell>
          <cell r="J1136" t="str">
            <v>Traditional Food</v>
          </cell>
          <cell r="O1136">
            <v>4</v>
          </cell>
        </row>
        <row r="1137">
          <cell r="B1137">
            <v>45527</v>
          </cell>
          <cell r="J1137" t="str">
            <v>Handicrafts</v>
          </cell>
          <cell r="O1137">
            <v>106.4</v>
          </cell>
        </row>
        <row r="1138">
          <cell r="B1138">
            <v>45648</v>
          </cell>
          <cell r="J1138" t="str">
            <v>Clothing</v>
          </cell>
          <cell r="O1138">
            <v>273.60000000000002</v>
          </cell>
        </row>
        <row r="1139">
          <cell r="B1139">
            <v>45457</v>
          </cell>
          <cell r="J1139" t="str">
            <v>Groceries</v>
          </cell>
          <cell r="O1139">
            <v>53.2</v>
          </cell>
        </row>
        <row r="1140">
          <cell r="B1140">
            <v>45546</v>
          </cell>
          <cell r="J1140" t="str">
            <v>Beverages</v>
          </cell>
          <cell r="O1140">
            <v>21.59</v>
          </cell>
        </row>
        <row r="1141">
          <cell r="B1141">
            <v>45478</v>
          </cell>
          <cell r="J1141" t="str">
            <v>Beverages</v>
          </cell>
          <cell r="O1141">
            <v>10.5</v>
          </cell>
        </row>
        <row r="1142">
          <cell r="B1142">
            <v>45439</v>
          </cell>
          <cell r="J1142" t="str">
            <v>Traditional Food</v>
          </cell>
          <cell r="O1142">
            <v>9</v>
          </cell>
        </row>
        <row r="1143">
          <cell r="B1143">
            <v>45611</v>
          </cell>
          <cell r="J1143" t="str">
            <v>Groceries</v>
          </cell>
          <cell r="O1143">
            <v>7.56</v>
          </cell>
        </row>
        <row r="1144">
          <cell r="B1144">
            <v>45326</v>
          </cell>
          <cell r="J1144" t="str">
            <v>Handicrafts</v>
          </cell>
          <cell r="O1144">
            <v>129.19999999999999</v>
          </cell>
        </row>
        <row r="1145">
          <cell r="B1145">
            <v>45331</v>
          </cell>
          <cell r="J1145" t="str">
            <v>Beverages</v>
          </cell>
          <cell r="O1145">
            <v>14.2</v>
          </cell>
        </row>
        <row r="1146">
          <cell r="B1146">
            <v>45394</v>
          </cell>
          <cell r="J1146" t="str">
            <v>Groceries</v>
          </cell>
          <cell r="O1146">
            <v>28</v>
          </cell>
        </row>
        <row r="1147">
          <cell r="B1147">
            <v>45301</v>
          </cell>
          <cell r="J1147" t="str">
            <v>Groceries</v>
          </cell>
          <cell r="O1147">
            <v>13.09</v>
          </cell>
        </row>
        <row r="1148">
          <cell r="B1148">
            <v>45429</v>
          </cell>
          <cell r="J1148" t="str">
            <v>Beverages</v>
          </cell>
          <cell r="O1148">
            <v>22.86</v>
          </cell>
        </row>
        <row r="1149">
          <cell r="B1149">
            <v>45559</v>
          </cell>
          <cell r="J1149" t="str">
            <v>Groceries</v>
          </cell>
          <cell r="O1149">
            <v>8.4</v>
          </cell>
        </row>
        <row r="1150">
          <cell r="B1150">
            <v>45514</v>
          </cell>
          <cell r="J1150" t="str">
            <v>Beverages</v>
          </cell>
          <cell r="O1150">
            <v>14</v>
          </cell>
        </row>
        <row r="1151">
          <cell r="B1151">
            <v>45503</v>
          </cell>
          <cell r="J1151" t="str">
            <v>Traditional Food</v>
          </cell>
          <cell r="O1151">
            <v>7.65</v>
          </cell>
        </row>
        <row r="1152">
          <cell r="B1152">
            <v>45499</v>
          </cell>
          <cell r="J1152" t="str">
            <v>Clothing</v>
          </cell>
          <cell r="O1152">
            <v>144</v>
          </cell>
        </row>
        <row r="1153">
          <cell r="B1153">
            <v>45529</v>
          </cell>
          <cell r="J1153" t="str">
            <v>Beverages</v>
          </cell>
          <cell r="O1153">
            <v>11.36</v>
          </cell>
        </row>
        <row r="1154">
          <cell r="B1154">
            <v>45373</v>
          </cell>
          <cell r="J1154" t="str">
            <v>Traditional Food</v>
          </cell>
          <cell r="O1154">
            <v>4.5</v>
          </cell>
        </row>
        <row r="1155">
          <cell r="B1155">
            <v>45621</v>
          </cell>
          <cell r="J1155" t="str">
            <v>Clothing</v>
          </cell>
          <cell r="O1155">
            <v>32.4</v>
          </cell>
        </row>
        <row r="1156">
          <cell r="B1156">
            <v>45452</v>
          </cell>
          <cell r="J1156" t="str">
            <v>Traditional Food</v>
          </cell>
          <cell r="O1156">
            <v>10</v>
          </cell>
        </row>
        <row r="1157">
          <cell r="B1157">
            <v>45635</v>
          </cell>
          <cell r="J1157" t="str">
            <v>Groceries</v>
          </cell>
          <cell r="O1157">
            <v>3.6</v>
          </cell>
        </row>
        <row r="1158">
          <cell r="B1158">
            <v>45349</v>
          </cell>
          <cell r="J1158" t="str">
            <v>Beverages</v>
          </cell>
          <cell r="O1158">
            <v>17.100000000000001</v>
          </cell>
        </row>
        <row r="1159">
          <cell r="B1159">
            <v>45546</v>
          </cell>
          <cell r="J1159" t="str">
            <v>Dairy</v>
          </cell>
          <cell r="O1159">
            <v>10.5</v>
          </cell>
        </row>
        <row r="1160">
          <cell r="B1160">
            <v>45591</v>
          </cell>
          <cell r="J1160" t="str">
            <v>Handicrafts</v>
          </cell>
          <cell r="O1160">
            <v>88.4</v>
          </cell>
        </row>
        <row r="1161">
          <cell r="B1161">
            <v>45365</v>
          </cell>
          <cell r="J1161" t="str">
            <v>Groceries</v>
          </cell>
          <cell r="O1161">
            <v>4.8</v>
          </cell>
        </row>
        <row r="1162">
          <cell r="B1162">
            <v>45422</v>
          </cell>
          <cell r="J1162" t="str">
            <v>Groceries</v>
          </cell>
          <cell r="O1162">
            <v>17.100000000000001</v>
          </cell>
        </row>
        <row r="1163">
          <cell r="B1163">
            <v>45571</v>
          </cell>
          <cell r="J1163" t="str">
            <v>Traditional Food</v>
          </cell>
          <cell r="O1163">
            <v>35</v>
          </cell>
        </row>
        <row r="1164">
          <cell r="B1164">
            <v>45477</v>
          </cell>
          <cell r="J1164" t="str">
            <v>Clothing</v>
          </cell>
          <cell r="O1164">
            <v>259.2</v>
          </cell>
        </row>
        <row r="1165">
          <cell r="B1165">
            <v>45631</v>
          </cell>
          <cell r="J1165" t="str">
            <v>Traditional Food</v>
          </cell>
          <cell r="O1165">
            <v>0.9</v>
          </cell>
        </row>
        <row r="1166">
          <cell r="B1166">
            <v>45574</v>
          </cell>
          <cell r="J1166" t="str">
            <v>Beverages</v>
          </cell>
          <cell r="O1166">
            <v>9.75</v>
          </cell>
        </row>
        <row r="1167">
          <cell r="B1167">
            <v>45565</v>
          </cell>
          <cell r="J1167" t="str">
            <v>Handicrafts</v>
          </cell>
          <cell r="O1167">
            <v>81.599999999999994</v>
          </cell>
        </row>
        <row r="1168">
          <cell r="B1168">
            <v>45446</v>
          </cell>
          <cell r="J1168" t="str">
            <v>Groceries</v>
          </cell>
          <cell r="O1168">
            <v>7.14</v>
          </cell>
        </row>
        <row r="1169">
          <cell r="B1169">
            <v>45516</v>
          </cell>
          <cell r="J1169" t="str">
            <v>Beverages</v>
          </cell>
          <cell r="O1169">
            <v>13.97</v>
          </cell>
        </row>
        <row r="1170">
          <cell r="B1170">
            <v>45333</v>
          </cell>
          <cell r="J1170" t="str">
            <v>Traditional Food</v>
          </cell>
          <cell r="O1170">
            <v>8</v>
          </cell>
        </row>
        <row r="1171">
          <cell r="B1171">
            <v>45343</v>
          </cell>
          <cell r="J1171" t="str">
            <v>Handicrafts</v>
          </cell>
          <cell r="O1171">
            <v>43.2</v>
          </cell>
        </row>
        <row r="1172">
          <cell r="B1172">
            <v>45600</v>
          </cell>
          <cell r="J1172" t="str">
            <v>Handicrafts</v>
          </cell>
          <cell r="O1172">
            <v>194.4</v>
          </cell>
        </row>
        <row r="1173">
          <cell r="B1173">
            <v>45620</v>
          </cell>
          <cell r="J1173" t="str">
            <v>Traditional Food</v>
          </cell>
          <cell r="O1173">
            <v>2.7</v>
          </cell>
        </row>
        <row r="1174">
          <cell r="B1174">
            <v>45497</v>
          </cell>
          <cell r="J1174" t="str">
            <v>Beverages</v>
          </cell>
          <cell r="O1174">
            <v>6.3</v>
          </cell>
        </row>
        <row r="1175">
          <cell r="B1175">
            <v>45372</v>
          </cell>
          <cell r="J1175" t="str">
            <v>Traditional Food</v>
          </cell>
          <cell r="O1175">
            <v>7.6</v>
          </cell>
        </row>
        <row r="1176">
          <cell r="B1176">
            <v>45455</v>
          </cell>
          <cell r="J1176" t="str">
            <v>Beverages</v>
          </cell>
          <cell r="O1176">
            <v>15</v>
          </cell>
        </row>
        <row r="1177">
          <cell r="B1177">
            <v>45643</v>
          </cell>
          <cell r="J1177" t="str">
            <v>Clothing</v>
          </cell>
          <cell r="O1177">
            <v>290.7</v>
          </cell>
        </row>
        <row r="1178">
          <cell r="B1178">
            <v>45504</v>
          </cell>
          <cell r="J1178" t="str">
            <v>Beverages</v>
          </cell>
          <cell r="O1178">
            <v>18</v>
          </cell>
        </row>
        <row r="1179">
          <cell r="B1179">
            <v>45303</v>
          </cell>
          <cell r="J1179" t="str">
            <v>Beverages</v>
          </cell>
          <cell r="O1179">
            <v>12.24</v>
          </cell>
        </row>
        <row r="1180">
          <cell r="B1180">
            <v>45393</v>
          </cell>
          <cell r="J1180" t="str">
            <v>Traditional Food</v>
          </cell>
          <cell r="O1180">
            <v>8.1</v>
          </cell>
        </row>
        <row r="1181">
          <cell r="B1181">
            <v>45599</v>
          </cell>
          <cell r="J1181" t="str">
            <v>Groceries</v>
          </cell>
          <cell r="O1181">
            <v>25.2</v>
          </cell>
        </row>
        <row r="1182">
          <cell r="B1182">
            <v>45299</v>
          </cell>
          <cell r="J1182" t="str">
            <v>Beverages</v>
          </cell>
          <cell r="O1182">
            <v>12.75</v>
          </cell>
        </row>
        <row r="1183">
          <cell r="B1183">
            <v>45352</v>
          </cell>
          <cell r="J1183" t="str">
            <v>Groceries</v>
          </cell>
          <cell r="O1183">
            <v>6.48</v>
          </cell>
        </row>
        <row r="1184">
          <cell r="B1184">
            <v>45545</v>
          </cell>
          <cell r="J1184" t="str">
            <v>Clothing</v>
          </cell>
          <cell r="O1184">
            <v>234</v>
          </cell>
        </row>
        <row r="1185">
          <cell r="B1185">
            <v>45638</v>
          </cell>
          <cell r="J1185" t="str">
            <v>Beverages</v>
          </cell>
          <cell r="O1185">
            <v>10.5</v>
          </cell>
        </row>
        <row r="1186">
          <cell r="B1186">
            <v>45440</v>
          </cell>
          <cell r="J1186" t="str">
            <v>Beverages</v>
          </cell>
          <cell r="O1186">
            <v>9</v>
          </cell>
        </row>
        <row r="1187">
          <cell r="B1187">
            <v>45590</v>
          </cell>
          <cell r="J1187" t="str">
            <v>Beverages</v>
          </cell>
          <cell r="O1187">
            <v>11.25</v>
          </cell>
        </row>
        <row r="1188">
          <cell r="B1188">
            <v>45643</v>
          </cell>
          <cell r="J1188" t="str">
            <v>Handicrafts</v>
          </cell>
          <cell r="O1188">
            <v>50.4</v>
          </cell>
        </row>
        <row r="1189">
          <cell r="B1189">
            <v>45340</v>
          </cell>
          <cell r="J1189" t="str">
            <v>Clothing</v>
          </cell>
          <cell r="O1189">
            <v>324</v>
          </cell>
        </row>
        <row r="1190">
          <cell r="B1190">
            <v>45473</v>
          </cell>
          <cell r="J1190" t="str">
            <v>Beverages</v>
          </cell>
          <cell r="O1190">
            <v>13.6</v>
          </cell>
        </row>
        <row r="1191">
          <cell r="B1191">
            <v>45421</v>
          </cell>
          <cell r="J1191" t="str">
            <v>Traditional Food</v>
          </cell>
          <cell r="O1191">
            <v>7.99</v>
          </cell>
        </row>
        <row r="1192">
          <cell r="B1192">
            <v>45578</v>
          </cell>
          <cell r="J1192" t="str">
            <v>Handicrafts</v>
          </cell>
          <cell r="O1192">
            <v>22.8</v>
          </cell>
        </row>
        <row r="1193">
          <cell r="B1193">
            <v>45465</v>
          </cell>
          <cell r="J1193" t="str">
            <v>Dairy</v>
          </cell>
          <cell r="O1193">
            <v>52.5</v>
          </cell>
        </row>
        <row r="1194">
          <cell r="B1194">
            <v>45364</v>
          </cell>
          <cell r="J1194" t="str">
            <v>Dairy</v>
          </cell>
          <cell r="O1194">
            <v>31.5</v>
          </cell>
        </row>
        <row r="1195">
          <cell r="B1195">
            <v>45476</v>
          </cell>
          <cell r="J1195" t="str">
            <v>Dairy</v>
          </cell>
          <cell r="O1195">
            <v>21</v>
          </cell>
        </row>
        <row r="1196">
          <cell r="B1196">
            <v>45515</v>
          </cell>
          <cell r="J1196" t="str">
            <v>Clothing</v>
          </cell>
          <cell r="O1196">
            <v>108</v>
          </cell>
        </row>
        <row r="1197">
          <cell r="B1197">
            <v>45319</v>
          </cell>
          <cell r="J1197" t="str">
            <v>Beverages</v>
          </cell>
          <cell r="O1197">
            <v>7</v>
          </cell>
        </row>
        <row r="1198">
          <cell r="B1198">
            <v>45425</v>
          </cell>
          <cell r="J1198" t="str">
            <v>Traditional Food</v>
          </cell>
          <cell r="O1198">
            <v>2.7</v>
          </cell>
        </row>
        <row r="1199">
          <cell r="B1199">
            <v>45518</v>
          </cell>
          <cell r="J1199" t="str">
            <v>Dairy</v>
          </cell>
          <cell r="O1199">
            <v>16.2</v>
          </cell>
        </row>
        <row r="1200">
          <cell r="B1200">
            <v>45367</v>
          </cell>
          <cell r="J1200" t="str">
            <v>Dairy</v>
          </cell>
          <cell r="O1200">
            <v>6</v>
          </cell>
        </row>
        <row r="1201">
          <cell r="B1201">
            <v>45378</v>
          </cell>
          <cell r="J1201" t="str">
            <v>Handicrafts</v>
          </cell>
          <cell r="O1201">
            <v>505.75</v>
          </cell>
        </row>
        <row r="1202">
          <cell r="B1202">
            <v>45561</v>
          </cell>
          <cell r="J1202" t="str">
            <v>Beverages</v>
          </cell>
          <cell r="O1202">
            <v>28.5</v>
          </cell>
        </row>
        <row r="1203">
          <cell r="B1203">
            <v>45638</v>
          </cell>
          <cell r="J1203" t="str">
            <v>Beverages</v>
          </cell>
          <cell r="O1203">
            <v>3</v>
          </cell>
        </row>
        <row r="1204">
          <cell r="B1204">
            <v>45483</v>
          </cell>
          <cell r="J1204" t="str">
            <v>Traditional Food</v>
          </cell>
          <cell r="O1204">
            <v>47.5</v>
          </cell>
        </row>
        <row r="1205">
          <cell r="B1205">
            <v>45527</v>
          </cell>
          <cell r="J1205" t="str">
            <v>Traditional Food</v>
          </cell>
          <cell r="O1205">
            <v>8</v>
          </cell>
        </row>
        <row r="1206">
          <cell r="B1206">
            <v>45314</v>
          </cell>
          <cell r="J1206" t="str">
            <v>Traditional Food</v>
          </cell>
          <cell r="O1206">
            <v>10</v>
          </cell>
        </row>
        <row r="1207">
          <cell r="B1207">
            <v>45316</v>
          </cell>
          <cell r="J1207" t="str">
            <v>Beverages</v>
          </cell>
          <cell r="O1207">
            <v>10</v>
          </cell>
        </row>
        <row r="1208">
          <cell r="B1208">
            <v>45339</v>
          </cell>
          <cell r="J1208" t="str">
            <v>Traditional Food</v>
          </cell>
          <cell r="O1208">
            <v>13</v>
          </cell>
        </row>
        <row r="1209">
          <cell r="B1209">
            <v>45302</v>
          </cell>
          <cell r="J1209" t="str">
            <v>Groceries</v>
          </cell>
          <cell r="O1209">
            <v>19.600000000000001</v>
          </cell>
        </row>
        <row r="1210">
          <cell r="B1210">
            <v>45353</v>
          </cell>
          <cell r="J1210" t="str">
            <v>Handicrafts</v>
          </cell>
          <cell r="O1210">
            <v>350</v>
          </cell>
        </row>
        <row r="1211">
          <cell r="B1211">
            <v>45475</v>
          </cell>
          <cell r="J1211" t="str">
            <v>Handicrafts</v>
          </cell>
          <cell r="O1211">
            <v>119</v>
          </cell>
        </row>
        <row r="1212">
          <cell r="B1212">
            <v>45490</v>
          </cell>
          <cell r="J1212" t="str">
            <v>Dairy</v>
          </cell>
          <cell r="O1212">
            <v>24</v>
          </cell>
        </row>
        <row r="1213">
          <cell r="B1213">
            <v>45480</v>
          </cell>
          <cell r="J1213" t="str">
            <v>Traditional Food</v>
          </cell>
          <cell r="O1213">
            <v>20</v>
          </cell>
        </row>
        <row r="1214">
          <cell r="B1214">
            <v>45554</v>
          </cell>
          <cell r="J1214" t="str">
            <v>Traditional Food</v>
          </cell>
          <cell r="O1214">
            <v>11</v>
          </cell>
        </row>
        <row r="1215">
          <cell r="B1215">
            <v>45561</v>
          </cell>
          <cell r="J1215" t="str">
            <v>Beverages</v>
          </cell>
          <cell r="O1215">
            <v>17</v>
          </cell>
        </row>
        <row r="1216">
          <cell r="B1216">
            <v>45445</v>
          </cell>
          <cell r="J1216" t="str">
            <v>Traditional Food</v>
          </cell>
          <cell r="O1216">
            <v>5</v>
          </cell>
        </row>
        <row r="1217">
          <cell r="B1217">
            <v>45443</v>
          </cell>
          <cell r="J1217" t="str">
            <v>Beverages</v>
          </cell>
          <cell r="O1217">
            <v>14.25</v>
          </cell>
        </row>
        <row r="1218">
          <cell r="B1218">
            <v>45553</v>
          </cell>
          <cell r="J1218" t="str">
            <v>Traditional Food</v>
          </cell>
          <cell r="O1218">
            <v>7</v>
          </cell>
        </row>
        <row r="1219">
          <cell r="B1219">
            <v>45422</v>
          </cell>
          <cell r="J1219" t="str">
            <v>Clothing</v>
          </cell>
          <cell r="O1219">
            <v>342</v>
          </cell>
        </row>
        <row r="1220">
          <cell r="B1220">
            <v>45383</v>
          </cell>
          <cell r="J1220" t="str">
            <v>Traditional Food</v>
          </cell>
          <cell r="O1220">
            <v>12.72</v>
          </cell>
        </row>
        <row r="1221">
          <cell r="B1221">
            <v>45452</v>
          </cell>
          <cell r="J1221" t="str">
            <v>Groceries</v>
          </cell>
          <cell r="O1221">
            <v>20.52</v>
          </cell>
        </row>
        <row r="1222">
          <cell r="B1222">
            <v>45466</v>
          </cell>
          <cell r="J1222" t="str">
            <v>Groceries</v>
          </cell>
          <cell r="O1222">
            <v>5.4</v>
          </cell>
        </row>
        <row r="1223">
          <cell r="B1223">
            <v>45514</v>
          </cell>
          <cell r="J1223" t="str">
            <v>Clothing</v>
          </cell>
          <cell r="O1223">
            <v>324</v>
          </cell>
        </row>
        <row r="1224">
          <cell r="B1224">
            <v>45627</v>
          </cell>
          <cell r="J1224" t="str">
            <v>Traditional Food</v>
          </cell>
          <cell r="O1224">
            <v>8</v>
          </cell>
        </row>
        <row r="1225">
          <cell r="B1225">
            <v>45608</v>
          </cell>
          <cell r="J1225" t="str">
            <v>Dairy</v>
          </cell>
          <cell r="O1225">
            <v>30</v>
          </cell>
        </row>
        <row r="1226">
          <cell r="B1226">
            <v>45336</v>
          </cell>
          <cell r="J1226" t="str">
            <v>Groceries</v>
          </cell>
          <cell r="O1226">
            <v>14</v>
          </cell>
        </row>
        <row r="1227">
          <cell r="B1227">
            <v>45305</v>
          </cell>
          <cell r="J1227" t="str">
            <v>Traditional Food</v>
          </cell>
          <cell r="O1227">
            <v>3.5</v>
          </cell>
        </row>
        <row r="1228">
          <cell r="B1228">
            <v>45612</v>
          </cell>
          <cell r="J1228" t="str">
            <v>Beverages</v>
          </cell>
          <cell r="O1228">
            <v>13.5</v>
          </cell>
        </row>
        <row r="1229">
          <cell r="B1229">
            <v>45534</v>
          </cell>
          <cell r="J1229" t="str">
            <v>Groceries</v>
          </cell>
          <cell r="O1229">
            <v>12.6</v>
          </cell>
        </row>
        <row r="1230">
          <cell r="B1230">
            <v>45540</v>
          </cell>
          <cell r="J1230" t="str">
            <v>Beverages</v>
          </cell>
          <cell r="O1230">
            <v>16</v>
          </cell>
        </row>
        <row r="1231">
          <cell r="B1231">
            <v>45442</v>
          </cell>
          <cell r="J1231" t="str">
            <v>Beverages</v>
          </cell>
          <cell r="O1231">
            <v>12.16</v>
          </cell>
        </row>
        <row r="1232">
          <cell r="B1232">
            <v>45344</v>
          </cell>
          <cell r="J1232" t="str">
            <v>Handicrafts</v>
          </cell>
          <cell r="O1232">
            <v>112</v>
          </cell>
        </row>
        <row r="1233">
          <cell r="B1233">
            <v>45310</v>
          </cell>
          <cell r="J1233" t="str">
            <v>Groceries</v>
          </cell>
          <cell r="O1233">
            <v>32</v>
          </cell>
        </row>
        <row r="1234">
          <cell r="B1234">
            <v>45323</v>
          </cell>
          <cell r="J1234" t="str">
            <v>Dairy</v>
          </cell>
          <cell r="O1234">
            <v>25.5</v>
          </cell>
        </row>
        <row r="1235">
          <cell r="B1235">
            <v>45429</v>
          </cell>
          <cell r="J1235" t="str">
            <v>Groceries</v>
          </cell>
          <cell r="O1235">
            <v>28</v>
          </cell>
        </row>
        <row r="1236">
          <cell r="B1236">
            <v>45649</v>
          </cell>
          <cell r="J1236" t="str">
            <v>Handicrafts</v>
          </cell>
          <cell r="O1236">
            <v>168</v>
          </cell>
        </row>
        <row r="1237">
          <cell r="B1237">
            <v>45468</v>
          </cell>
          <cell r="J1237" t="str">
            <v>Beverages</v>
          </cell>
          <cell r="O1237">
            <v>22.5</v>
          </cell>
        </row>
        <row r="1238">
          <cell r="B1238">
            <v>45359</v>
          </cell>
          <cell r="J1238" t="str">
            <v>Handicrafts</v>
          </cell>
          <cell r="O1238">
            <v>72</v>
          </cell>
        </row>
        <row r="1239">
          <cell r="B1239">
            <v>45533</v>
          </cell>
          <cell r="J1239" t="str">
            <v>Groceries</v>
          </cell>
          <cell r="O1239">
            <v>6.84</v>
          </cell>
        </row>
        <row r="1240">
          <cell r="B1240">
            <v>45358</v>
          </cell>
          <cell r="J1240" t="str">
            <v>Traditional Food</v>
          </cell>
          <cell r="O1240">
            <v>6</v>
          </cell>
        </row>
        <row r="1241">
          <cell r="B1241">
            <v>45544</v>
          </cell>
          <cell r="J1241" t="str">
            <v>Traditional Food</v>
          </cell>
          <cell r="O1241">
            <v>25</v>
          </cell>
        </row>
        <row r="1242">
          <cell r="B1242">
            <v>45425</v>
          </cell>
          <cell r="J1242" t="str">
            <v>Traditional Food</v>
          </cell>
          <cell r="O1242">
            <v>5.4</v>
          </cell>
        </row>
        <row r="1243">
          <cell r="B1243">
            <v>45324</v>
          </cell>
          <cell r="J1243" t="str">
            <v>Dairy</v>
          </cell>
          <cell r="O1243">
            <v>38.5</v>
          </cell>
        </row>
        <row r="1244">
          <cell r="B1244">
            <v>45541</v>
          </cell>
          <cell r="J1244" t="str">
            <v>Traditional Food</v>
          </cell>
          <cell r="O1244">
            <v>22.5</v>
          </cell>
        </row>
        <row r="1245">
          <cell r="B1245">
            <v>45369</v>
          </cell>
          <cell r="J1245" t="str">
            <v>Traditional Food</v>
          </cell>
          <cell r="O1245">
            <v>7.99</v>
          </cell>
        </row>
        <row r="1246">
          <cell r="B1246">
            <v>45526</v>
          </cell>
          <cell r="J1246" t="str">
            <v>Traditional Food</v>
          </cell>
          <cell r="O1246">
            <v>2</v>
          </cell>
        </row>
        <row r="1247">
          <cell r="B1247">
            <v>45551</v>
          </cell>
          <cell r="J1247" t="str">
            <v>Traditional Food</v>
          </cell>
          <cell r="O1247">
            <v>10</v>
          </cell>
        </row>
        <row r="1248">
          <cell r="B1248">
            <v>45372</v>
          </cell>
          <cell r="J1248" t="str">
            <v>Beverages</v>
          </cell>
          <cell r="O1248">
            <v>13.5</v>
          </cell>
        </row>
        <row r="1249">
          <cell r="B1249">
            <v>45370</v>
          </cell>
          <cell r="J1249" t="str">
            <v>Dairy</v>
          </cell>
          <cell r="O1249">
            <v>18</v>
          </cell>
        </row>
        <row r="1250">
          <cell r="B1250">
            <v>45504</v>
          </cell>
          <cell r="J1250" t="str">
            <v>Beverages</v>
          </cell>
          <cell r="O1250">
            <v>1.5</v>
          </cell>
        </row>
        <row r="1251">
          <cell r="B1251">
            <v>45550</v>
          </cell>
          <cell r="J1251" t="str">
            <v>Handicrafts</v>
          </cell>
          <cell r="O1251">
            <v>48</v>
          </cell>
        </row>
        <row r="1252">
          <cell r="B1252">
            <v>45614</v>
          </cell>
          <cell r="J1252" t="str">
            <v>Groceries</v>
          </cell>
          <cell r="O1252">
            <v>9.6</v>
          </cell>
        </row>
        <row r="1253">
          <cell r="B1253">
            <v>45362</v>
          </cell>
          <cell r="J1253" t="str">
            <v>Groceries</v>
          </cell>
          <cell r="O1253">
            <v>16.8</v>
          </cell>
        </row>
        <row r="1254">
          <cell r="B1254">
            <v>45307</v>
          </cell>
          <cell r="J1254" t="str">
            <v>Groceries</v>
          </cell>
          <cell r="O1254">
            <v>13.5</v>
          </cell>
        </row>
        <row r="1255">
          <cell r="B1255">
            <v>45335</v>
          </cell>
          <cell r="J1255" t="str">
            <v>Dairy</v>
          </cell>
          <cell r="O1255">
            <v>38.5</v>
          </cell>
        </row>
        <row r="1256">
          <cell r="B1256">
            <v>45323</v>
          </cell>
          <cell r="J1256" t="str">
            <v>Beverages</v>
          </cell>
          <cell r="O1256">
            <v>8.32</v>
          </cell>
        </row>
        <row r="1257">
          <cell r="B1257">
            <v>45615</v>
          </cell>
          <cell r="J1257" t="str">
            <v>Beverages</v>
          </cell>
          <cell r="O1257">
            <v>17</v>
          </cell>
        </row>
        <row r="1258">
          <cell r="B1258">
            <v>45452</v>
          </cell>
          <cell r="J1258" t="str">
            <v>Groceries</v>
          </cell>
          <cell r="O1258">
            <v>24</v>
          </cell>
        </row>
        <row r="1259">
          <cell r="B1259">
            <v>45650</v>
          </cell>
          <cell r="J1259" t="str">
            <v>Dairy</v>
          </cell>
          <cell r="O1259">
            <v>45.5</v>
          </cell>
        </row>
        <row r="1260">
          <cell r="B1260">
            <v>45649</v>
          </cell>
          <cell r="J1260" t="str">
            <v>Groceries</v>
          </cell>
          <cell r="O1260">
            <v>20.399999999999999</v>
          </cell>
        </row>
        <row r="1261">
          <cell r="B1261">
            <v>45335</v>
          </cell>
          <cell r="J1261" t="str">
            <v>Beverages</v>
          </cell>
          <cell r="O1261">
            <v>2.84</v>
          </cell>
        </row>
        <row r="1262">
          <cell r="B1262">
            <v>45401</v>
          </cell>
          <cell r="J1262" t="str">
            <v>Beverages</v>
          </cell>
          <cell r="O1262">
            <v>2.85</v>
          </cell>
        </row>
        <row r="1263">
          <cell r="B1263">
            <v>45303</v>
          </cell>
          <cell r="J1263" t="str">
            <v>Handicrafts</v>
          </cell>
          <cell r="O1263">
            <v>6.8</v>
          </cell>
        </row>
        <row r="1264">
          <cell r="B1264">
            <v>45508</v>
          </cell>
          <cell r="J1264" t="str">
            <v>Beverages</v>
          </cell>
          <cell r="O1264">
            <v>12.75</v>
          </cell>
        </row>
        <row r="1265">
          <cell r="B1265">
            <v>45613</v>
          </cell>
          <cell r="J1265" t="str">
            <v>Handicrafts</v>
          </cell>
          <cell r="O1265">
            <v>204</v>
          </cell>
        </row>
        <row r="1266">
          <cell r="B1266">
            <v>45444</v>
          </cell>
          <cell r="J1266" t="str">
            <v>Traditional Food</v>
          </cell>
          <cell r="O1266">
            <v>42.75</v>
          </cell>
        </row>
        <row r="1267">
          <cell r="B1267">
            <v>45471</v>
          </cell>
          <cell r="J1267" t="str">
            <v>Beverages</v>
          </cell>
          <cell r="O1267">
            <v>7.5</v>
          </cell>
        </row>
        <row r="1268">
          <cell r="B1268">
            <v>45558</v>
          </cell>
          <cell r="J1268" t="str">
            <v>Beverages</v>
          </cell>
          <cell r="O1268">
            <v>8</v>
          </cell>
        </row>
        <row r="1269">
          <cell r="B1269">
            <v>45524</v>
          </cell>
          <cell r="J1269" t="str">
            <v>Beverages</v>
          </cell>
          <cell r="O1269">
            <v>6</v>
          </cell>
        </row>
        <row r="1270">
          <cell r="B1270">
            <v>45339</v>
          </cell>
          <cell r="J1270" t="str">
            <v>Groceries</v>
          </cell>
          <cell r="O1270">
            <v>2.4</v>
          </cell>
        </row>
        <row r="1271">
          <cell r="B1271">
            <v>45331</v>
          </cell>
          <cell r="J1271" t="str">
            <v>Beverages</v>
          </cell>
          <cell r="O1271">
            <v>16.2</v>
          </cell>
        </row>
        <row r="1272">
          <cell r="B1272">
            <v>45427</v>
          </cell>
          <cell r="J1272" t="str">
            <v>Groceries</v>
          </cell>
          <cell r="O1272">
            <v>38</v>
          </cell>
        </row>
        <row r="1273">
          <cell r="B1273">
            <v>45375</v>
          </cell>
          <cell r="J1273" t="str">
            <v>Dairy</v>
          </cell>
          <cell r="O1273">
            <v>7.1</v>
          </cell>
        </row>
        <row r="1274">
          <cell r="B1274">
            <v>45652</v>
          </cell>
          <cell r="J1274" t="str">
            <v>Groceries</v>
          </cell>
          <cell r="O1274">
            <v>13.09</v>
          </cell>
        </row>
        <row r="1275">
          <cell r="B1275">
            <v>45534</v>
          </cell>
          <cell r="J1275" t="str">
            <v>Beverages</v>
          </cell>
          <cell r="O1275">
            <v>2.7</v>
          </cell>
        </row>
        <row r="1276">
          <cell r="B1276">
            <v>45600</v>
          </cell>
          <cell r="J1276" t="str">
            <v>Handicrafts</v>
          </cell>
          <cell r="O1276">
            <v>168</v>
          </cell>
        </row>
        <row r="1277">
          <cell r="B1277">
            <v>45559</v>
          </cell>
          <cell r="J1277" t="str">
            <v>Handicrafts</v>
          </cell>
          <cell r="O1277">
            <v>175</v>
          </cell>
        </row>
        <row r="1278">
          <cell r="B1278">
            <v>45540</v>
          </cell>
          <cell r="J1278" t="str">
            <v>Handicrafts</v>
          </cell>
          <cell r="O1278">
            <v>29.75</v>
          </cell>
        </row>
        <row r="1279">
          <cell r="B1279">
            <v>45448</v>
          </cell>
          <cell r="J1279" t="str">
            <v>Groceries</v>
          </cell>
          <cell r="O1279">
            <v>12</v>
          </cell>
        </row>
        <row r="1280">
          <cell r="B1280">
            <v>45354</v>
          </cell>
          <cell r="J1280" t="str">
            <v>Dairy</v>
          </cell>
          <cell r="O1280">
            <v>27</v>
          </cell>
        </row>
        <row r="1281">
          <cell r="B1281">
            <v>45585</v>
          </cell>
          <cell r="J1281" t="str">
            <v>Groceries</v>
          </cell>
          <cell r="O1281">
            <v>11.4</v>
          </cell>
        </row>
        <row r="1282">
          <cell r="B1282">
            <v>45602</v>
          </cell>
          <cell r="J1282" t="str">
            <v>Groceries</v>
          </cell>
          <cell r="O1282">
            <v>11.9</v>
          </cell>
        </row>
        <row r="1283">
          <cell r="B1283">
            <v>45633</v>
          </cell>
          <cell r="J1283" t="str">
            <v>Groceries</v>
          </cell>
          <cell r="O1283">
            <v>13.5</v>
          </cell>
        </row>
        <row r="1284">
          <cell r="B1284">
            <v>45490</v>
          </cell>
          <cell r="J1284" t="str">
            <v>Traditional Food</v>
          </cell>
          <cell r="O1284">
            <v>8</v>
          </cell>
        </row>
        <row r="1285">
          <cell r="B1285">
            <v>45622</v>
          </cell>
          <cell r="J1285" t="str">
            <v>Groceries</v>
          </cell>
          <cell r="O1285">
            <v>2.31</v>
          </cell>
        </row>
        <row r="1286">
          <cell r="B1286">
            <v>45621</v>
          </cell>
          <cell r="J1286" t="str">
            <v>Handicrafts</v>
          </cell>
          <cell r="O1286">
            <v>630</v>
          </cell>
        </row>
        <row r="1287">
          <cell r="B1287">
            <v>45583</v>
          </cell>
          <cell r="J1287" t="str">
            <v>Groceries</v>
          </cell>
          <cell r="O1287">
            <v>34</v>
          </cell>
        </row>
        <row r="1288">
          <cell r="B1288">
            <v>45629</v>
          </cell>
          <cell r="J1288" t="str">
            <v>Traditional Food</v>
          </cell>
          <cell r="O1288">
            <v>9</v>
          </cell>
        </row>
        <row r="1289">
          <cell r="B1289">
            <v>45653</v>
          </cell>
          <cell r="J1289" t="str">
            <v>Beverages</v>
          </cell>
          <cell r="O1289">
            <v>28.5</v>
          </cell>
        </row>
        <row r="1290">
          <cell r="B1290">
            <v>45593</v>
          </cell>
          <cell r="J1290" t="str">
            <v>Handicrafts</v>
          </cell>
          <cell r="O1290">
            <v>16</v>
          </cell>
        </row>
        <row r="1291">
          <cell r="B1291">
            <v>45384</v>
          </cell>
          <cell r="J1291" t="str">
            <v>Handicrafts</v>
          </cell>
          <cell r="O1291">
            <v>112</v>
          </cell>
        </row>
        <row r="1292">
          <cell r="B1292">
            <v>45338</v>
          </cell>
          <cell r="J1292" t="str">
            <v>Groceries</v>
          </cell>
          <cell r="O1292">
            <v>11.2</v>
          </cell>
        </row>
        <row r="1293">
          <cell r="B1293">
            <v>45422</v>
          </cell>
          <cell r="J1293" t="str">
            <v>Beverages</v>
          </cell>
          <cell r="O1293">
            <v>3</v>
          </cell>
        </row>
        <row r="1294">
          <cell r="B1294">
            <v>45606</v>
          </cell>
          <cell r="J1294" t="str">
            <v>Beverages</v>
          </cell>
          <cell r="O1294">
            <v>8.25</v>
          </cell>
        </row>
        <row r="1295">
          <cell r="B1295">
            <v>45342</v>
          </cell>
          <cell r="J1295" t="str">
            <v>Handicrafts</v>
          </cell>
          <cell r="O1295">
            <v>385</v>
          </cell>
        </row>
        <row r="1296">
          <cell r="B1296">
            <v>45353</v>
          </cell>
          <cell r="J1296" t="str">
            <v>Clothing</v>
          </cell>
          <cell r="O1296">
            <v>36</v>
          </cell>
        </row>
        <row r="1297">
          <cell r="B1297">
            <v>45552</v>
          </cell>
          <cell r="J1297" t="str">
            <v>Beverages</v>
          </cell>
          <cell r="O1297">
            <v>12.75</v>
          </cell>
        </row>
        <row r="1298">
          <cell r="B1298">
            <v>45529</v>
          </cell>
          <cell r="J1298" t="str">
            <v>Traditional Food</v>
          </cell>
          <cell r="O1298">
            <v>9</v>
          </cell>
        </row>
        <row r="1299">
          <cell r="B1299">
            <v>45301</v>
          </cell>
          <cell r="J1299" t="str">
            <v>Groceries</v>
          </cell>
          <cell r="O1299">
            <v>10.26</v>
          </cell>
        </row>
        <row r="1300">
          <cell r="B1300">
            <v>45576</v>
          </cell>
          <cell r="J1300" t="str">
            <v>Traditional Food</v>
          </cell>
          <cell r="O1300">
            <v>12.5</v>
          </cell>
        </row>
        <row r="1301">
          <cell r="B1301">
            <v>45364</v>
          </cell>
          <cell r="J1301" t="str">
            <v>Traditional Food</v>
          </cell>
          <cell r="O1301">
            <v>11.4</v>
          </cell>
        </row>
        <row r="1302">
          <cell r="B1302">
            <v>45576</v>
          </cell>
          <cell r="J1302" t="str">
            <v>Beverages</v>
          </cell>
          <cell r="O1302">
            <v>11.25</v>
          </cell>
        </row>
        <row r="1303">
          <cell r="B1303">
            <v>45292</v>
          </cell>
          <cell r="J1303" t="str">
            <v>Handicrafts</v>
          </cell>
          <cell r="O1303">
            <v>70</v>
          </cell>
        </row>
        <row r="1304">
          <cell r="B1304">
            <v>45615</v>
          </cell>
          <cell r="J1304" t="str">
            <v>Groceries</v>
          </cell>
          <cell r="O1304">
            <v>18.62</v>
          </cell>
        </row>
        <row r="1305">
          <cell r="B1305">
            <v>45565</v>
          </cell>
          <cell r="J1305" t="str">
            <v>Traditional Food</v>
          </cell>
          <cell r="O1305">
            <v>9.5</v>
          </cell>
        </row>
        <row r="1306">
          <cell r="B1306">
            <v>45576</v>
          </cell>
          <cell r="J1306" t="str">
            <v>Traditional Food</v>
          </cell>
          <cell r="O1306">
            <v>22.5</v>
          </cell>
        </row>
        <row r="1307">
          <cell r="B1307">
            <v>45617</v>
          </cell>
          <cell r="J1307" t="str">
            <v>Handicrafts</v>
          </cell>
          <cell r="O1307">
            <v>61.2</v>
          </cell>
        </row>
        <row r="1308">
          <cell r="B1308">
            <v>45466</v>
          </cell>
          <cell r="J1308" t="str">
            <v>Beverages</v>
          </cell>
          <cell r="O1308">
            <v>5.25</v>
          </cell>
        </row>
        <row r="1309">
          <cell r="B1309">
            <v>45622</v>
          </cell>
          <cell r="J1309" t="str">
            <v>Traditional Food</v>
          </cell>
          <cell r="O1309">
            <v>0.47</v>
          </cell>
        </row>
        <row r="1310">
          <cell r="B1310">
            <v>45503</v>
          </cell>
          <cell r="J1310" t="str">
            <v>Traditional Food</v>
          </cell>
          <cell r="O1310">
            <v>8.1</v>
          </cell>
        </row>
        <row r="1311">
          <cell r="B1311">
            <v>45624</v>
          </cell>
          <cell r="J1311" t="str">
            <v>Groceries</v>
          </cell>
          <cell r="O1311">
            <v>7.98</v>
          </cell>
        </row>
        <row r="1312">
          <cell r="B1312">
            <v>45472</v>
          </cell>
          <cell r="J1312" t="str">
            <v>Groceries</v>
          </cell>
          <cell r="O1312">
            <v>10.01</v>
          </cell>
        </row>
        <row r="1313">
          <cell r="B1313">
            <v>45355</v>
          </cell>
          <cell r="J1313" t="str">
            <v>Beverages</v>
          </cell>
          <cell r="O1313">
            <v>11.25</v>
          </cell>
        </row>
        <row r="1314">
          <cell r="B1314">
            <v>45302</v>
          </cell>
          <cell r="J1314" t="str">
            <v>Traditional Food</v>
          </cell>
          <cell r="O1314">
            <v>4.05</v>
          </cell>
        </row>
        <row r="1315">
          <cell r="B1315">
            <v>45606</v>
          </cell>
          <cell r="J1315" t="str">
            <v>Beverages</v>
          </cell>
          <cell r="O1315">
            <v>12.7</v>
          </cell>
        </row>
        <row r="1316">
          <cell r="B1316">
            <v>45310</v>
          </cell>
          <cell r="J1316" t="str">
            <v>Dairy</v>
          </cell>
          <cell r="O1316">
            <v>13.5</v>
          </cell>
        </row>
        <row r="1317">
          <cell r="B1317">
            <v>45392</v>
          </cell>
          <cell r="J1317" t="str">
            <v>Beverages</v>
          </cell>
          <cell r="O1317">
            <v>19.5</v>
          </cell>
        </row>
        <row r="1318">
          <cell r="B1318">
            <v>45379</v>
          </cell>
          <cell r="J1318" t="str">
            <v>Dairy</v>
          </cell>
          <cell r="O1318">
            <v>63</v>
          </cell>
        </row>
        <row r="1319">
          <cell r="B1319">
            <v>45593</v>
          </cell>
          <cell r="J1319" t="str">
            <v>Beverages</v>
          </cell>
          <cell r="O1319">
            <v>3.4</v>
          </cell>
        </row>
        <row r="1320">
          <cell r="B1320">
            <v>45390</v>
          </cell>
          <cell r="J1320" t="str">
            <v>Beverages</v>
          </cell>
          <cell r="O1320">
            <v>0.68</v>
          </cell>
        </row>
        <row r="1321">
          <cell r="B1321">
            <v>45293</v>
          </cell>
          <cell r="J1321" t="str">
            <v>Clothing</v>
          </cell>
          <cell r="O1321">
            <v>226.8</v>
          </cell>
        </row>
        <row r="1322">
          <cell r="B1322">
            <v>45513</v>
          </cell>
          <cell r="J1322" t="str">
            <v>Traditional Food</v>
          </cell>
          <cell r="O1322">
            <v>7</v>
          </cell>
        </row>
        <row r="1323">
          <cell r="B1323">
            <v>45477</v>
          </cell>
          <cell r="J1323" t="str">
            <v>Groceries</v>
          </cell>
          <cell r="O1323">
            <v>13.09</v>
          </cell>
        </row>
        <row r="1324">
          <cell r="B1324">
            <v>45434</v>
          </cell>
          <cell r="J1324" t="str">
            <v>Beverages</v>
          </cell>
          <cell r="O1324">
            <v>9.94</v>
          </cell>
        </row>
        <row r="1325">
          <cell r="B1325">
            <v>45463</v>
          </cell>
          <cell r="J1325" t="str">
            <v>Groceries</v>
          </cell>
          <cell r="O1325">
            <v>7.98</v>
          </cell>
        </row>
        <row r="1326">
          <cell r="B1326">
            <v>45330</v>
          </cell>
          <cell r="J1326" t="str">
            <v>Beverages</v>
          </cell>
          <cell r="O1326">
            <v>6</v>
          </cell>
        </row>
        <row r="1327">
          <cell r="B1327">
            <v>45306</v>
          </cell>
          <cell r="J1327" t="str">
            <v>Traditional Food</v>
          </cell>
          <cell r="O1327">
            <v>16</v>
          </cell>
        </row>
        <row r="1328">
          <cell r="B1328">
            <v>45418</v>
          </cell>
          <cell r="J1328" t="str">
            <v>Handicrafts</v>
          </cell>
          <cell r="O1328">
            <v>32</v>
          </cell>
        </row>
        <row r="1329">
          <cell r="B1329">
            <v>45558</v>
          </cell>
          <cell r="J1329" t="str">
            <v>Traditional Food</v>
          </cell>
          <cell r="O1329">
            <v>4</v>
          </cell>
        </row>
        <row r="1330">
          <cell r="B1330">
            <v>45612</v>
          </cell>
          <cell r="J1330" t="str">
            <v>Groceries</v>
          </cell>
          <cell r="O1330">
            <v>12.75</v>
          </cell>
        </row>
        <row r="1331">
          <cell r="B1331">
            <v>45485</v>
          </cell>
          <cell r="J1331" t="str">
            <v>Traditional Food</v>
          </cell>
          <cell r="O1331">
            <v>4.62</v>
          </cell>
        </row>
        <row r="1332">
          <cell r="B1332">
            <v>45518</v>
          </cell>
          <cell r="J1332" t="str">
            <v>Beverages</v>
          </cell>
          <cell r="O1332">
            <v>2</v>
          </cell>
        </row>
        <row r="1333">
          <cell r="B1333">
            <v>45638</v>
          </cell>
          <cell r="J1333" t="str">
            <v>Traditional Food</v>
          </cell>
          <cell r="O1333">
            <v>1.9</v>
          </cell>
        </row>
        <row r="1334">
          <cell r="B1334">
            <v>45341</v>
          </cell>
          <cell r="J1334" t="str">
            <v>Groceries</v>
          </cell>
          <cell r="O1334">
            <v>47.6</v>
          </cell>
        </row>
        <row r="1335">
          <cell r="B1335">
            <v>45488</v>
          </cell>
          <cell r="J1335" t="str">
            <v>Traditional Food</v>
          </cell>
          <cell r="O1335">
            <v>6.3</v>
          </cell>
        </row>
        <row r="1336">
          <cell r="B1336">
            <v>45625</v>
          </cell>
          <cell r="J1336" t="str">
            <v>Traditional Food</v>
          </cell>
          <cell r="O1336">
            <v>2.5</v>
          </cell>
        </row>
        <row r="1337">
          <cell r="B1337">
            <v>45344</v>
          </cell>
          <cell r="J1337" t="str">
            <v>Beverages</v>
          </cell>
          <cell r="O1337">
            <v>1.42</v>
          </cell>
        </row>
        <row r="1338">
          <cell r="B1338">
            <v>45618</v>
          </cell>
          <cell r="J1338" t="str">
            <v>Beverages</v>
          </cell>
          <cell r="O1338">
            <v>25.5</v>
          </cell>
        </row>
        <row r="1339">
          <cell r="B1339">
            <v>45416</v>
          </cell>
          <cell r="J1339" t="str">
            <v>Groceries</v>
          </cell>
          <cell r="O1339">
            <v>3.85</v>
          </cell>
        </row>
        <row r="1340">
          <cell r="B1340">
            <v>45554</v>
          </cell>
          <cell r="J1340" t="str">
            <v>Handicrafts</v>
          </cell>
          <cell r="O1340">
            <v>420</v>
          </cell>
        </row>
        <row r="1341">
          <cell r="B1341">
            <v>45532</v>
          </cell>
          <cell r="J1341" t="str">
            <v>Beverages</v>
          </cell>
          <cell r="O1341">
            <v>9.5</v>
          </cell>
        </row>
        <row r="1342">
          <cell r="B1342">
            <v>45321</v>
          </cell>
          <cell r="J1342" t="str">
            <v>Traditional Food</v>
          </cell>
          <cell r="O1342">
            <v>3.76</v>
          </cell>
        </row>
        <row r="1343">
          <cell r="B1343">
            <v>45468</v>
          </cell>
          <cell r="J1343" t="str">
            <v>Traditional Food</v>
          </cell>
          <cell r="O1343">
            <v>3.5</v>
          </cell>
        </row>
        <row r="1344">
          <cell r="B1344">
            <v>45388</v>
          </cell>
          <cell r="J1344" t="str">
            <v>Traditional Food</v>
          </cell>
          <cell r="O1344">
            <v>14.4</v>
          </cell>
        </row>
        <row r="1345">
          <cell r="B1345">
            <v>45607</v>
          </cell>
          <cell r="J1345" t="str">
            <v>Handicrafts</v>
          </cell>
          <cell r="O1345">
            <v>80</v>
          </cell>
        </row>
        <row r="1346">
          <cell r="B1346">
            <v>45545</v>
          </cell>
          <cell r="J1346" t="str">
            <v>Groceries</v>
          </cell>
          <cell r="O1346">
            <v>7.2</v>
          </cell>
        </row>
        <row r="1347">
          <cell r="B1347">
            <v>45611</v>
          </cell>
          <cell r="J1347" t="str">
            <v>Beverages</v>
          </cell>
          <cell r="O1347">
            <v>5.25</v>
          </cell>
        </row>
        <row r="1348">
          <cell r="B1348">
            <v>45397</v>
          </cell>
          <cell r="J1348" t="str">
            <v>Handicrafts</v>
          </cell>
          <cell r="O1348">
            <v>104</v>
          </cell>
        </row>
        <row r="1349">
          <cell r="B1349">
            <v>45329</v>
          </cell>
          <cell r="J1349" t="str">
            <v>Handicrafts</v>
          </cell>
          <cell r="O1349">
            <v>144</v>
          </cell>
        </row>
        <row r="1350">
          <cell r="B1350">
            <v>45391</v>
          </cell>
          <cell r="J1350" t="str">
            <v>Handicrafts</v>
          </cell>
          <cell r="O1350">
            <v>565.25</v>
          </cell>
        </row>
        <row r="1351">
          <cell r="B1351">
            <v>45393</v>
          </cell>
          <cell r="J1351" t="str">
            <v>Traditional Food</v>
          </cell>
          <cell r="O1351">
            <v>5</v>
          </cell>
        </row>
        <row r="1352">
          <cell r="B1352">
            <v>45575</v>
          </cell>
          <cell r="J1352" t="str">
            <v>Beverages</v>
          </cell>
          <cell r="O1352">
            <v>6</v>
          </cell>
        </row>
        <row r="1353">
          <cell r="B1353">
            <v>45302</v>
          </cell>
          <cell r="J1353" t="str">
            <v>Clothing</v>
          </cell>
          <cell r="O1353">
            <v>90</v>
          </cell>
        </row>
        <row r="1354">
          <cell r="B1354">
            <v>45399</v>
          </cell>
          <cell r="J1354" t="str">
            <v>Traditional Food</v>
          </cell>
          <cell r="O1354">
            <v>25</v>
          </cell>
        </row>
        <row r="1355">
          <cell r="B1355">
            <v>45561</v>
          </cell>
          <cell r="J1355" t="str">
            <v>Handicrafts</v>
          </cell>
          <cell r="O1355">
            <v>240</v>
          </cell>
        </row>
        <row r="1356">
          <cell r="B1356">
            <v>45358</v>
          </cell>
          <cell r="J1356" t="str">
            <v>Traditional Food</v>
          </cell>
          <cell r="O1356">
            <v>17.5</v>
          </cell>
        </row>
        <row r="1357">
          <cell r="B1357">
            <v>45598</v>
          </cell>
          <cell r="J1357" t="str">
            <v>Handicrafts</v>
          </cell>
          <cell r="O1357">
            <v>151.19999999999999</v>
          </cell>
        </row>
        <row r="1358">
          <cell r="B1358">
            <v>45368</v>
          </cell>
          <cell r="J1358" t="str">
            <v>Beverages</v>
          </cell>
          <cell r="O1358">
            <v>16.5</v>
          </cell>
        </row>
        <row r="1359">
          <cell r="B1359">
            <v>45552</v>
          </cell>
          <cell r="J1359" t="str">
            <v>Clothing</v>
          </cell>
          <cell r="O1359">
            <v>342</v>
          </cell>
        </row>
        <row r="1360">
          <cell r="B1360">
            <v>45377</v>
          </cell>
          <cell r="J1360" t="str">
            <v>Dairy</v>
          </cell>
          <cell r="O1360">
            <v>25.5</v>
          </cell>
        </row>
        <row r="1361">
          <cell r="B1361">
            <v>45547</v>
          </cell>
          <cell r="J1361" t="str">
            <v>Dairy</v>
          </cell>
          <cell r="O1361">
            <v>59.5</v>
          </cell>
        </row>
        <row r="1362">
          <cell r="B1362">
            <v>45545</v>
          </cell>
          <cell r="J1362" t="str">
            <v>Handicrafts</v>
          </cell>
          <cell r="O1362">
            <v>192</v>
          </cell>
        </row>
        <row r="1363">
          <cell r="B1363">
            <v>45404</v>
          </cell>
          <cell r="J1363" t="str">
            <v>Traditional Food</v>
          </cell>
          <cell r="O1363">
            <v>3.5</v>
          </cell>
        </row>
        <row r="1364">
          <cell r="B1364">
            <v>45509</v>
          </cell>
          <cell r="J1364" t="str">
            <v>Beverages</v>
          </cell>
          <cell r="O1364">
            <v>18.46</v>
          </cell>
        </row>
        <row r="1365">
          <cell r="B1365">
            <v>45573</v>
          </cell>
          <cell r="J1365" t="str">
            <v>Handicrafts</v>
          </cell>
          <cell r="O1365">
            <v>36</v>
          </cell>
        </row>
        <row r="1366">
          <cell r="B1366">
            <v>45409</v>
          </cell>
          <cell r="J1366" t="str">
            <v>Groceries</v>
          </cell>
          <cell r="O1366">
            <v>17.100000000000001</v>
          </cell>
        </row>
        <row r="1367">
          <cell r="B1367">
            <v>45522</v>
          </cell>
          <cell r="J1367" t="str">
            <v>Handicrafts</v>
          </cell>
          <cell r="O1367">
            <v>120</v>
          </cell>
        </row>
        <row r="1368">
          <cell r="B1368">
            <v>45431</v>
          </cell>
          <cell r="J1368" t="str">
            <v>Dairy</v>
          </cell>
          <cell r="O1368">
            <v>19.5</v>
          </cell>
        </row>
        <row r="1369">
          <cell r="B1369">
            <v>45475</v>
          </cell>
          <cell r="J1369" t="str">
            <v>Clothing</v>
          </cell>
          <cell r="O1369">
            <v>54</v>
          </cell>
        </row>
        <row r="1370">
          <cell r="B1370">
            <v>45433</v>
          </cell>
          <cell r="J1370" t="str">
            <v>Groceries</v>
          </cell>
          <cell r="O1370">
            <v>16</v>
          </cell>
        </row>
        <row r="1371">
          <cell r="B1371">
            <v>45462</v>
          </cell>
          <cell r="J1371" t="str">
            <v>Traditional Food</v>
          </cell>
          <cell r="O1371">
            <v>3.15</v>
          </cell>
        </row>
        <row r="1372">
          <cell r="B1372">
            <v>45653</v>
          </cell>
          <cell r="J1372" t="str">
            <v>Clothing</v>
          </cell>
          <cell r="O1372">
            <v>360</v>
          </cell>
        </row>
        <row r="1373">
          <cell r="B1373">
            <v>45296</v>
          </cell>
          <cell r="J1373" t="str">
            <v>Groceries</v>
          </cell>
          <cell r="O1373">
            <v>20</v>
          </cell>
        </row>
        <row r="1374">
          <cell r="B1374">
            <v>45588</v>
          </cell>
          <cell r="J1374" t="str">
            <v>Groceries</v>
          </cell>
          <cell r="O1374">
            <v>2.8</v>
          </cell>
        </row>
        <row r="1375">
          <cell r="B1375">
            <v>45408</v>
          </cell>
          <cell r="J1375" t="str">
            <v>Beverages</v>
          </cell>
          <cell r="O1375">
            <v>7.2</v>
          </cell>
        </row>
        <row r="1376">
          <cell r="B1376">
            <v>45528</v>
          </cell>
          <cell r="J1376" t="str">
            <v>Beverages</v>
          </cell>
          <cell r="O1376">
            <v>7.04</v>
          </cell>
        </row>
        <row r="1377">
          <cell r="B1377">
            <v>45649</v>
          </cell>
          <cell r="J1377" t="str">
            <v>Beverages</v>
          </cell>
          <cell r="O1377">
            <v>21</v>
          </cell>
        </row>
        <row r="1378">
          <cell r="B1378">
            <v>45483</v>
          </cell>
          <cell r="J1378" t="str">
            <v>Groceries</v>
          </cell>
          <cell r="O1378">
            <v>9.5</v>
          </cell>
        </row>
        <row r="1379">
          <cell r="B1379">
            <v>45629</v>
          </cell>
          <cell r="J1379" t="str">
            <v>Traditional Food</v>
          </cell>
          <cell r="O1379">
            <v>6</v>
          </cell>
        </row>
        <row r="1380">
          <cell r="B1380">
            <v>45458</v>
          </cell>
          <cell r="J1380" t="str">
            <v>Groceries</v>
          </cell>
          <cell r="O1380">
            <v>53.2</v>
          </cell>
        </row>
        <row r="1381">
          <cell r="B1381">
            <v>45461</v>
          </cell>
          <cell r="J1381" t="str">
            <v>Beverages</v>
          </cell>
          <cell r="O1381">
            <v>17.100000000000001</v>
          </cell>
        </row>
        <row r="1382">
          <cell r="B1382">
            <v>45396</v>
          </cell>
          <cell r="J1382" t="str">
            <v>Groceries</v>
          </cell>
          <cell r="O1382">
            <v>36.4</v>
          </cell>
        </row>
        <row r="1383">
          <cell r="B1383">
            <v>45460</v>
          </cell>
          <cell r="J1383" t="str">
            <v>Dairy</v>
          </cell>
          <cell r="O1383">
            <v>28.5</v>
          </cell>
        </row>
        <row r="1384">
          <cell r="B1384">
            <v>45345</v>
          </cell>
          <cell r="J1384" t="str">
            <v>Traditional Food</v>
          </cell>
          <cell r="O1384">
            <v>18</v>
          </cell>
        </row>
        <row r="1385">
          <cell r="B1385">
            <v>45387</v>
          </cell>
          <cell r="J1385" t="str">
            <v>Dairy</v>
          </cell>
          <cell r="O1385">
            <v>10.5</v>
          </cell>
        </row>
        <row r="1386">
          <cell r="B1386">
            <v>45411</v>
          </cell>
          <cell r="J1386" t="str">
            <v>Handicrafts</v>
          </cell>
          <cell r="O1386">
            <v>315</v>
          </cell>
        </row>
        <row r="1387">
          <cell r="B1387">
            <v>45557</v>
          </cell>
          <cell r="J1387" t="str">
            <v>Traditional Food</v>
          </cell>
          <cell r="O1387">
            <v>0.5</v>
          </cell>
        </row>
        <row r="1388">
          <cell r="B1388">
            <v>45372</v>
          </cell>
          <cell r="J1388" t="str">
            <v>Groceries</v>
          </cell>
          <cell r="O1388">
            <v>4.8</v>
          </cell>
        </row>
        <row r="1389">
          <cell r="B1389">
            <v>45397</v>
          </cell>
          <cell r="J1389" t="str">
            <v>Traditional Food</v>
          </cell>
          <cell r="O1389">
            <v>4.25</v>
          </cell>
        </row>
        <row r="1390">
          <cell r="B1390">
            <v>45601</v>
          </cell>
          <cell r="J1390" t="str">
            <v>Dairy</v>
          </cell>
          <cell r="O1390">
            <v>28.5</v>
          </cell>
        </row>
        <row r="1391">
          <cell r="B1391">
            <v>45395</v>
          </cell>
          <cell r="J1391" t="str">
            <v>Groceries</v>
          </cell>
          <cell r="O1391">
            <v>0.9</v>
          </cell>
        </row>
        <row r="1392">
          <cell r="B1392">
            <v>45561</v>
          </cell>
          <cell r="J1392" t="str">
            <v>Groceries</v>
          </cell>
          <cell r="O1392">
            <v>29.26</v>
          </cell>
        </row>
        <row r="1393">
          <cell r="B1393">
            <v>45338</v>
          </cell>
          <cell r="J1393" t="str">
            <v>Groceries</v>
          </cell>
          <cell r="O1393">
            <v>8.1</v>
          </cell>
        </row>
        <row r="1394">
          <cell r="B1394">
            <v>45492</v>
          </cell>
          <cell r="J1394" t="str">
            <v>Handicrafts</v>
          </cell>
          <cell r="O1394">
            <v>204</v>
          </cell>
        </row>
        <row r="1395">
          <cell r="B1395">
            <v>45383</v>
          </cell>
          <cell r="J1395" t="str">
            <v>Groceries</v>
          </cell>
          <cell r="O1395">
            <v>21.6</v>
          </cell>
        </row>
        <row r="1396">
          <cell r="B1396">
            <v>45493</v>
          </cell>
          <cell r="J1396" t="str">
            <v>Beverages</v>
          </cell>
          <cell r="O1396">
            <v>1.5</v>
          </cell>
        </row>
        <row r="1397">
          <cell r="B1397">
            <v>45633</v>
          </cell>
          <cell r="J1397" t="str">
            <v>Clothing</v>
          </cell>
          <cell r="O1397">
            <v>48.6</v>
          </cell>
        </row>
        <row r="1398">
          <cell r="B1398">
            <v>45502</v>
          </cell>
          <cell r="J1398" t="str">
            <v>Beverages</v>
          </cell>
          <cell r="O1398">
            <v>27</v>
          </cell>
        </row>
        <row r="1399">
          <cell r="B1399">
            <v>45501</v>
          </cell>
          <cell r="J1399" t="str">
            <v>Traditional Food</v>
          </cell>
          <cell r="O1399">
            <v>37.5</v>
          </cell>
        </row>
        <row r="1400">
          <cell r="B1400">
            <v>45305</v>
          </cell>
          <cell r="J1400" t="str">
            <v>Traditional Food</v>
          </cell>
          <cell r="O1400">
            <v>1.35</v>
          </cell>
        </row>
        <row r="1401">
          <cell r="B1401">
            <v>45467</v>
          </cell>
          <cell r="J1401" t="str">
            <v>Groceries</v>
          </cell>
          <cell r="O1401">
            <v>10.01</v>
          </cell>
        </row>
        <row r="1402">
          <cell r="B1402">
            <v>45350</v>
          </cell>
          <cell r="J1402" t="str">
            <v>Traditional Food</v>
          </cell>
          <cell r="O1402">
            <v>2.5</v>
          </cell>
        </row>
        <row r="1403">
          <cell r="B1403">
            <v>45326</v>
          </cell>
          <cell r="J1403" t="str">
            <v>Dairy</v>
          </cell>
          <cell r="O1403">
            <v>4.26</v>
          </cell>
        </row>
        <row r="1404">
          <cell r="B1404">
            <v>45533</v>
          </cell>
          <cell r="J1404" t="str">
            <v>Groceries</v>
          </cell>
          <cell r="O1404">
            <v>6.93</v>
          </cell>
        </row>
        <row r="1405">
          <cell r="B1405">
            <v>45382</v>
          </cell>
          <cell r="J1405" t="str">
            <v>Traditional Food</v>
          </cell>
          <cell r="O1405">
            <v>5</v>
          </cell>
        </row>
        <row r="1406">
          <cell r="B1406">
            <v>45635</v>
          </cell>
          <cell r="J1406" t="str">
            <v>Beverages</v>
          </cell>
          <cell r="O1406">
            <v>0.68</v>
          </cell>
        </row>
        <row r="1407">
          <cell r="B1407">
            <v>45402</v>
          </cell>
          <cell r="J1407" t="str">
            <v>Handicrafts</v>
          </cell>
          <cell r="O1407">
            <v>21.6</v>
          </cell>
        </row>
        <row r="1408">
          <cell r="B1408">
            <v>45491</v>
          </cell>
          <cell r="J1408" t="str">
            <v>Traditional Food</v>
          </cell>
          <cell r="O1408">
            <v>5</v>
          </cell>
        </row>
        <row r="1409">
          <cell r="B1409">
            <v>45395</v>
          </cell>
          <cell r="J1409" t="str">
            <v>Traditional Food</v>
          </cell>
          <cell r="O1409">
            <v>4</v>
          </cell>
        </row>
        <row r="1410">
          <cell r="B1410">
            <v>45507</v>
          </cell>
          <cell r="J1410" t="str">
            <v>Traditional Food</v>
          </cell>
          <cell r="O1410">
            <v>1</v>
          </cell>
        </row>
        <row r="1411">
          <cell r="B1411">
            <v>45341</v>
          </cell>
          <cell r="J1411" t="str">
            <v>Traditional Food</v>
          </cell>
          <cell r="O1411">
            <v>5.4</v>
          </cell>
        </row>
        <row r="1412">
          <cell r="B1412">
            <v>45459</v>
          </cell>
          <cell r="J1412" t="str">
            <v>Dairy</v>
          </cell>
          <cell r="O1412">
            <v>36.520000000000003</v>
          </cell>
        </row>
        <row r="1413">
          <cell r="B1413">
            <v>45511</v>
          </cell>
          <cell r="J1413" t="str">
            <v>Beverages</v>
          </cell>
          <cell r="O1413">
            <v>6</v>
          </cell>
        </row>
        <row r="1414">
          <cell r="B1414">
            <v>45299</v>
          </cell>
          <cell r="J1414" t="str">
            <v>Handicrafts</v>
          </cell>
          <cell r="O1414">
            <v>93.6</v>
          </cell>
        </row>
        <row r="1415">
          <cell r="B1415">
            <v>45404</v>
          </cell>
          <cell r="J1415" t="str">
            <v>Beverages</v>
          </cell>
          <cell r="O1415">
            <v>4.05</v>
          </cell>
        </row>
        <row r="1416">
          <cell r="B1416">
            <v>45326</v>
          </cell>
          <cell r="J1416" t="str">
            <v>Handicrafts</v>
          </cell>
          <cell r="O1416">
            <v>84</v>
          </cell>
        </row>
        <row r="1417">
          <cell r="B1417">
            <v>45656</v>
          </cell>
          <cell r="J1417" t="str">
            <v>Dairy</v>
          </cell>
          <cell r="O1417">
            <v>22.86</v>
          </cell>
        </row>
        <row r="1418">
          <cell r="B1418">
            <v>45340</v>
          </cell>
          <cell r="J1418" t="str">
            <v>Beverages</v>
          </cell>
          <cell r="O1418">
            <v>15</v>
          </cell>
        </row>
        <row r="1419">
          <cell r="B1419">
            <v>45462</v>
          </cell>
          <cell r="J1419" t="str">
            <v>Groceries</v>
          </cell>
          <cell r="O1419">
            <v>15.12</v>
          </cell>
        </row>
        <row r="1420">
          <cell r="B1420">
            <v>45326</v>
          </cell>
          <cell r="J1420" t="str">
            <v>Handicrafts</v>
          </cell>
          <cell r="O1420">
            <v>88</v>
          </cell>
        </row>
        <row r="1421">
          <cell r="B1421">
            <v>45553</v>
          </cell>
          <cell r="J1421" t="str">
            <v>Groceries</v>
          </cell>
          <cell r="O1421">
            <v>6.8</v>
          </cell>
        </row>
        <row r="1422">
          <cell r="B1422">
            <v>45607</v>
          </cell>
          <cell r="J1422" t="str">
            <v>Beverages</v>
          </cell>
          <cell r="O1422">
            <v>3</v>
          </cell>
        </row>
        <row r="1423">
          <cell r="B1423">
            <v>45322</v>
          </cell>
          <cell r="J1423" t="str">
            <v>Beverages</v>
          </cell>
          <cell r="O1423">
            <v>3.75</v>
          </cell>
        </row>
        <row r="1424">
          <cell r="B1424">
            <v>45396</v>
          </cell>
          <cell r="J1424" t="str">
            <v>Beverages</v>
          </cell>
          <cell r="O1424">
            <v>2</v>
          </cell>
        </row>
        <row r="1425">
          <cell r="B1425">
            <v>45360</v>
          </cell>
          <cell r="J1425" t="str">
            <v>Groceries</v>
          </cell>
          <cell r="O1425">
            <v>8.1</v>
          </cell>
        </row>
        <row r="1426">
          <cell r="B1426">
            <v>45623</v>
          </cell>
          <cell r="J1426" t="str">
            <v>Traditional Food</v>
          </cell>
          <cell r="O1426">
            <v>4.2</v>
          </cell>
        </row>
        <row r="1427">
          <cell r="B1427">
            <v>45416</v>
          </cell>
          <cell r="J1427" t="str">
            <v>Handicrafts</v>
          </cell>
          <cell r="O1427">
            <v>53.2</v>
          </cell>
        </row>
        <row r="1428">
          <cell r="B1428">
            <v>45603</v>
          </cell>
          <cell r="J1428" t="str">
            <v>Beverages</v>
          </cell>
          <cell r="O1428">
            <v>9.23</v>
          </cell>
        </row>
        <row r="1429">
          <cell r="B1429">
            <v>45543</v>
          </cell>
          <cell r="J1429" t="str">
            <v>Traditional Food</v>
          </cell>
          <cell r="O1429">
            <v>1.5</v>
          </cell>
        </row>
        <row r="1430">
          <cell r="B1430">
            <v>45338</v>
          </cell>
          <cell r="J1430" t="str">
            <v>Beverages</v>
          </cell>
          <cell r="O1430">
            <v>8.52</v>
          </cell>
        </row>
        <row r="1431">
          <cell r="B1431">
            <v>45551</v>
          </cell>
          <cell r="J1431" t="str">
            <v>Beverages</v>
          </cell>
          <cell r="O1431">
            <v>4.5</v>
          </cell>
        </row>
        <row r="1432">
          <cell r="B1432">
            <v>45417</v>
          </cell>
          <cell r="J1432" t="str">
            <v>Beverages</v>
          </cell>
          <cell r="O1432">
            <v>10.5</v>
          </cell>
        </row>
        <row r="1433">
          <cell r="B1433">
            <v>45617</v>
          </cell>
          <cell r="J1433" t="str">
            <v>Handicrafts</v>
          </cell>
          <cell r="O1433">
            <v>245</v>
          </cell>
        </row>
        <row r="1434">
          <cell r="B1434">
            <v>45495</v>
          </cell>
          <cell r="J1434" t="str">
            <v>Traditional Food</v>
          </cell>
          <cell r="O1434">
            <v>13</v>
          </cell>
        </row>
        <row r="1435">
          <cell r="B1435">
            <v>45371</v>
          </cell>
          <cell r="J1435" t="str">
            <v>Dairy</v>
          </cell>
          <cell r="O1435">
            <v>56</v>
          </cell>
        </row>
        <row r="1436">
          <cell r="B1436">
            <v>45596</v>
          </cell>
          <cell r="J1436" t="str">
            <v>Traditional Food</v>
          </cell>
          <cell r="O1436">
            <v>18</v>
          </cell>
        </row>
        <row r="1437">
          <cell r="B1437">
            <v>45529</v>
          </cell>
          <cell r="J1437" t="str">
            <v>Clothing</v>
          </cell>
          <cell r="O1437">
            <v>180</v>
          </cell>
        </row>
        <row r="1438">
          <cell r="B1438">
            <v>45462</v>
          </cell>
          <cell r="J1438" t="str">
            <v>Dairy</v>
          </cell>
          <cell r="O1438">
            <v>6.75</v>
          </cell>
        </row>
        <row r="1439">
          <cell r="B1439">
            <v>45298</v>
          </cell>
          <cell r="J1439" t="str">
            <v>Beverages</v>
          </cell>
          <cell r="O1439">
            <v>22.95</v>
          </cell>
        </row>
        <row r="1440">
          <cell r="B1440">
            <v>45494</v>
          </cell>
          <cell r="J1440" t="str">
            <v>Groceries</v>
          </cell>
          <cell r="O1440">
            <v>33.6</v>
          </cell>
        </row>
        <row r="1441">
          <cell r="B1441">
            <v>45311</v>
          </cell>
          <cell r="J1441" t="str">
            <v>Traditional Food</v>
          </cell>
          <cell r="O1441">
            <v>4</v>
          </cell>
        </row>
        <row r="1442">
          <cell r="B1442">
            <v>45422</v>
          </cell>
          <cell r="J1442" t="str">
            <v>Beverages</v>
          </cell>
          <cell r="O1442">
            <v>17.04</v>
          </cell>
        </row>
        <row r="1443">
          <cell r="B1443">
            <v>45625</v>
          </cell>
          <cell r="J1443" t="str">
            <v>Handicrafts</v>
          </cell>
          <cell r="O1443">
            <v>156</v>
          </cell>
        </row>
        <row r="1444">
          <cell r="B1444">
            <v>45477</v>
          </cell>
          <cell r="J1444" t="str">
            <v>Dairy</v>
          </cell>
          <cell r="O1444">
            <v>1.35</v>
          </cell>
        </row>
        <row r="1445">
          <cell r="B1445">
            <v>45640</v>
          </cell>
          <cell r="J1445" t="str">
            <v>Clothing</v>
          </cell>
          <cell r="O1445">
            <v>90</v>
          </cell>
        </row>
        <row r="1446">
          <cell r="B1446">
            <v>45351</v>
          </cell>
          <cell r="J1446" t="str">
            <v>Beverages</v>
          </cell>
          <cell r="O1446">
            <v>2.04</v>
          </cell>
        </row>
        <row r="1447">
          <cell r="B1447">
            <v>45557</v>
          </cell>
          <cell r="J1447" t="str">
            <v>Groceries</v>
          </cell>
          <cell r="O1447">
            <v>19.600000000000001</v>
          </cell>
        </row>
        <row r="1448">
          <cell r="B1448">
            <v>45548</v>
          </cell>
          <cell r="J1448" t="str">
            <v>Clothing</v>
          </cell>
          <cell r="O1448">
            <v>291.60000000000002</v>
          </cell>
        </row>
        <row r="1449">
          <cell r="B1449">
            <v>45337</v>
          </cell>
          <cell r="J1449" t="str">
            <v>Handicrafts</v>
          </cell>
          <cell r="O1449">
            <v>126</v>
          </cell>
        </row>
        <row r="1450">
          <cell r="B1450">
            <v>45429</v>
          </cell>
          <cell r="J1450" t="str">
            <v>Handicrafts</v>
          </cell>
          <cell r="O1450">
            <v>75.599999999999994</v>
          </cell>
        </row>
        <row r="1451">
          <cell r="B1451">
            <v>45543</v>
          </cell>
          <cell r="J1451" t="str">
            <v>Traditional Food</v>
          </cell>
          <cell r="O1451">
            <v>0.5</v>
          </cell>
        </row>
        <row r="1452">
          <cell r="B1452">
            <v>45627</v>
          </cell>
          <cell r="J1452" t="str">
            <v>Groceries</v>
          </cell>
          <cell r="O1452">
            <v>10.8</v>
          </cell>
        </row>
        <row r="1453">
          <cell r="B1453">
            <v>45652</v>
          </cell>
          <cell r="J1453" t="str">
            <v>Handicrafts</v>
          </cell>
          <cell r="O1453">
            <v>60</v>
          </cell>
        </row>
        <row r="1454">
          <cell r="B1454">
            <v>45582</v>
          </cell>
          <cell r="J1454" t="str">
            <v>Traditional Food</v>
          </cell>
          <cell r="O1454">
            <v>17.5</v>
          </cell>
        </row>
        <row r="1455">
          <cell r="B1455">
            <v>45424</v>
          </cell>
          <cell r="J1455" t="str">
            <v>Beverages</v>
          </cell>
          <cell r="O1455">
            <v>10.5</v>
          </cell>
        </row>
        <row r="1456">
          <cell r="B1456">
            <v>45332</v>
          </cell>
          <cell r="J1456" t="str">
            <v>Traditional Food</v>
          </cell>
          <cell r="O1456">
            <v>25</v>
          </cell>
        </row>
        <row r="1457">
          <cell r="B1457">
            <v>45307</v>
          </cell>
          <cell r="J1457" t="str">
            <v>Traditional Food</v>
          </cell>
          <cell r="O1457">
            <v>19</v>
          </cell>
        </row>
        <row r="1458">
          <cell r="B1458">
            <v>45323</v>
          </cell>
          <cell r="J1458" t="str">
            <v>Traditional Food</v>
          </cell>
          <cell r="O1458">
            <v>19.079999999999998</v>
          </cell>
        </row>
        <row r="1459">
          <cell r="B1459">
            <v>45400</v>
          </cell>
          <cell r="J1459" t="str">
            <v>Traditional Food</v>
          </cell>
          <cell r="O1459">
            <v>7.14</v>
          </cell>
        </row>
        <row r="1460">
          <cell r="B1460">
            <v>45540</v>
          </cell>
          <cell r="J1460" t="str">
            <v>Dairy</v>
          </cell>
          <cell r="O1460">
            <v>47.68</v>
          </cell>
        </row>
        <row r="1461">
          <cell r="B1461">
            <v>45641</v>
          </cell>
          <cell r="J1461" t="str">
            <v>Handicrafts</v>
          </cell>
          <cell r="O1461">
            <v>88</v>
          </cell>
        </row>
        <row r="1462">
          <cell r="B1462">
            <v>45485</v>
          </cell>
          <cell r="J1462" t="str">
            <v>Handicrafts</v>
          </cell>
          <cell r="O1462">
            <v>240</v>
          </cell>
        </row>
        <row r="1463">
          <cell r="B1463">
            <v>45293</v>
          </cell>
          <cell r="J1463" t="str">
            <v>Handicrafts</v>
          </cell>
          <cell r="O1463">
            <v>102</v>
          </cell>
        </row>
        <row r="1464">
          <cell r="B1464">
            <v>45600</v>
          </cell>
          <cell r="J1464" t="str">
            <v>Beverages</v>
          </cell>
          <cell r="O1464">
            <v>3.4</v>
          </cell>
        </row>
        <row r="1465">
          <cell r="B1465">
            <v>45523</v>
          </cell>
          <cell r="J1465" t="str">
            <v>Beverages</v>
          </cell>
          <cell r="O1465">
            <v>13.6</v>
          </cell>
        </row>
        <row r="1466">
          <cell r="B1466">
            <v>45630</v>
          </cell>
          <cell r="J1466" t="str">
            <v>Dairy</v>
          </cell>
          <cell r="O1466">
            <v>24.5</v>
          </cell>
        </row>
        <row r="1467">
          <cell r="B1467">
            <v>45616</v>
          </cell>
          <cell r="J1467" t="str">
            <v>Handicrafts</v>
          </cell>
          <cell r="O1467">
            <v>81.599999999999994</v>
          </cell>
        </row>
        <row r="1468">
          <cell r="B1468">
            <v>45411</v>
          </cell>
          <cell r="J1468" t="str">
            <v>Handicrafts</v>
          </cell>
          <cell r="O1468">
            <v>160</v>
          </cell>
        </row>
        <row r="1469">
          <cell r="B1469">
            <v>45511</v>
          </cell>
          <cell r="J1469" t="str">
            <v>Traditional Food</v>
          </cell>
          <cell r="O1469">
            <v>14.4</v>
          </cell>
        </row>
        <row r="1470">
          <cell r="B1470">
            <v>45442</v>
          </cell>
          <cell r="J1470" t="str">
            <v>Traditional Food</v>
          </cell>
          <cell r="O1470">
            <v>50</v>
          </cell>
        </row>
        <row r="1471">
          <cell r="B1471">
            <v>45357</v>
          </cell>
          <cell r="J1471" t="str">
            <v>Dairy</v>
          </cell>
          <cell r="O1471">
            <v>47.68</v>
          </cell>
        </row>
        <row r="1472">
          <cell r="B1472">
            <v>45378</v>
          </cell>
          <cell r="J1472" t="str">
            <v>Groceries</v>
          </cell>
          <cell r="O1472">
            <v>30</v>
          </cell>
        </row>
        <row r="1473">
          <cell r="B1473">
            <v>45400</v>
          </cell>
          <cell r="J1473" t="str">
            <v>Beverages</v>
          </cell>
          <cell r="O1473">
            <v>3.84</v>
          </cell>
        </row>
        <row r="1474">
          <cell r="B1474">
            <v>45514</v>
          </cell>
          <cell r="J1474" t="str">
            <v>Traditional Food</v>
          </cell>
          <cell r="O1474">
            <v>1</v>
          </cell>
        </row>
        <row r="1475">
          <cell r="B1475">
            <v>45404</v>
          </cell>
          <cell r="J1475" t="str">
            <v>Groceries</v>
          </cell>
          <cell r="O1475">
            <v>22.68</v>
          </cell>
        </row>
        <row r="1476">
          <cell r="B1476">
            <v>45565</v>
          </cell>
          <cell r="J1476" t="str">
            <v>Traditional Food</v>
          </cell>
          <cell r="O1476">
            <v>40</v>
          </cell>
        </row>
        <row r="1477">
          <cell r="B1477">
            <v>45621</v>
          </cell>
          <cell r="J1477" t="str">
            <v>Beverages</v>
          </cell>
          <cell r="O1477">
            <v>8.25</v>
          </cell>
        </row>
        <row r="1478">
          <cell r="B1478">
            <v>45411</v>
          </cell>
          <cell r="J1478" t="str">
            <v>Groceries</v>
          </cell>
          <cell r="O1478">
            <v>22.4</v>
          </cell>
        </row>
        <row r="1479">
          <cell r="B1479">
            <v>45466</v>
          </cell>
          <cell r="J1479" t="str">
            <v>Traditional Food</v>
          </cell>
          <cell r="O1479">
            <v>47.5</v>
          </cell>
        </row>
        <row r="1480">
          <cell r="B1480">
            <v>45452</v>
          </cell>
          <cell r="J1480" t="str">
            <v>Handicrafts</v>
          </cell>
          <cell r="O1480">
            <v>148.19999999999999</v>
          </cell>
        </row>
        <row r="1481">
          <cell r="B1481">
            <v>45490</v>
          </cell>
          <cell r="J1481" t="str">
            <v>Traditional Food</v>
          </cell>
          <cell r="O1481">
            <v>7</v>
          </cell>
        </row>
        <row r="1482">
          <cell r="B1482">
            <v>45346</v>
          </cell>
          <cell r="J1482" t="str">
            <v>Beverages</v>
          </cell>
          <cell r="O1482">
            <v>13</v>
          </cell>
        </row>
        <row r="1483">
          <cell r="B1483">
            <v>45443</v>
          </cell>
          <cell r="J1483" t="str">
            <v>Handicrafts</v>
          </cell>
          <cell r="O1483">
            <v>64</v>
          </cell>
        </row>
        <row r="1484">
          <cell r="B1484">
            <v>45632</v>
          </cell>
          <cell r="J1484" t="str">
            <v>Handicrafts</v>
          </cell>
          <cell r="O1484">
            <v>66.5</v>
          </cell>
        </row>
        <row r="1485">
          <cell r="B1485">
            <v>45653</v>
          </cell>
          <cell r="J1485" t="str">
            <v>Traditional Food</v>
          </cell>
          <cell r="O1485">
            <v>47.5</v>
          </cell>
        </row>
        <row r="1486">
          <cell r="B1486">
            <v>45652</v>
          </cell>
          <cell r="J1486" t="str">
            <v>Dairy</v>
          </cell>
          <cell r="O1486">
            <v>19.5</v>
          </cell>
        </row>
        <row r="1487">
          <cell r="B1487">
            <v>45407</v>
          </cell>
          <cell r="J1487" t="str">
            <v>Beverages</v>
          </cell>
          <cell r="O1487">
            <v>1.7</v>
          </cell>
        </row>
        <row r="1488">
          <cell r="B1488">
            <v>45445</v>
          </cell>
          <cell r="J1488" t="str">
            <v>Dairy</v>
          </cell>
          <cell r="O1488">
            <v>9</v>
          </cell>
        </row>
        <row r="1489">
          <cell r="B1489">
            <v>45470</v>
          </cell>
          <cell r="J1489" t="str">
            <v>Groceries</v>
          </cell>
          <cell r="O1489">
            <v>15.6</v>
          </cell>
        </row>
        <row r="1490">
          <cell r="B1490">
            <v>45648</v>
          </cell>
          <cell r="J1490" t="str">
            <v>Handicrafts</v>
          </cell>
          <cell r="O1490">
            <v>220.5</v>
          </cell>
        </row>
        <row r="1491">
          <cell r="B1491">
            <v>45457</v>
          </cell>
          <cell r="J1491" t="str">
            <v>Traditional Food</v>
          </cell>
          <cell r="O1491">
            <v>40.28</v>
          </cell>
        </row>
        <row r="1492">
          <cell r="B1492">
            <v>45627</v>
          </cell>
          <cell r="J1492" t="str">
            <v>Handicrafts</v>
          </cell>
          <cell r="O1492">
            <v>199.5</v>
          </cell>
        </row>
        <row r="1493">
          <cell r="B1493">
            <v>45366</v>
          </cell>
          <cell r="J1493" t="str">
            <v>Dairy</v>
          </cell>
          <cell r="O1493">
            <v>10.5</v>
          </cell>
        </row>
        <row r="1494">
          <cell r="B1494">
            <v>45586</v>
          </cell>
          <cell r="J1494" t="str">
            <v>Traditional Food</v>
          </cell>
          <cell r="O1494">
            <v>1.8</v>
          </cell>
        </row>
        <row r="1495">
          <cell r="B1495">
            <v>45510</v>
          </cell>
          <cell r="J1495" t="str">
            <v>Beverages</v>
          </cell>
          <cell r="O1495">
            <v>6</v>
          </cell>
        </row>
        <row r="1496">
          <cell r="B1496">
            <v>45318</v>
          </cell>
          <cell r="J1496" t="str">
            <v>Dairy</v>
          </cell>
          <cell r="O1496">
            <v>5.68</v>
          </cell>
        </row>
        <row r="1497">
          <cell r="B1497">
            <v>45613</v>
          </cell>
          <cell r="J1497" t="str">
            <v>Groceries</v>
          </cell>
          <cell r="O1497">
            <v>15.6</v>
          </cell>
        </row>
        <row r="1498">
          <cell r="B1498">
            <v>45446</v>
          </cell>
          <cell r="J1498" t="str">
            <v>Groceries</v>
          </cell>
          <cell r="O1498">
            <v>56</v>
          </cell>
        </row>
        <row r="1499">
          <cell r="B1499">
            <v>45624</v>
          </cell>
          <cell r="J1499" t="str">
            <v>Traditional Food</v>
          </cell>
          <cell r="O1499">
            <v>13</v>
          </cell>
        </row>
        <row r="1500">
          <cell r="B1500">
            <v>45353</v>
          </cell>
          <cell r="J1500" t="str">
            <v>Handicrafts</v>
          </cell>
          <cell r="O1500">
            <v>48</v>
          </cell>
        </row>
        <row r="1501">
          <cell r="B1501">
            <v>45303</v>
          </cell>
          <cell r="J1501" t="str">
            <v>Dairy</v>
          </cell>
          <cell r="O1501">
            <v>63.08</v>
          </cell>
        </row>
        <row r="1502">
          <cell r="B1502">
            <v>45595</v>
          </cell>
          <cell r="J1502" t="str">
            <v>Clothing</v>
          </cell>
          <cell r="O1502">
            <v>108</v>
          </cell>
        </row>
        <row r="1503">
          <cell r="B1503">
            <v>45584</v>
          </cell>
          <cell r="J1503" t="str">
            <v>Groceries</v>
          </cell>
          <cell r="O1503">
            <v>6</v>
          </cell>
        </row>
        <row r="1504">
          <cell r="B1504">
            <v>45499</v>
          </cell>
          <cell r="J1504" t="str">
            <v>Groceries</v>
          </cell>
          <cell r="O1504">
            <v>2</v>
          </cell>
        </row>
        <row r="1505">
          <cell r="B1505">
            <v>45324</v>
          </cell>
          <cell r="J1505" t="str">
            <v>Dairy</v>
          </cell>
          <cell r="O1505">
            <v>50.66</v>
          </cell>
        </row>
        <row r="1506">
          <cell r="B1506">
            <v>45629</v>
          </cell>
          <cell r="J1506" t="str">
            <v>Traditional Food</v>
          </cell>
          <cell r="O1506">
            <v>10</v>
          </cell>
        </row>
        <row r="1507">
          <cell r="B1507">
            <v>45576</v>
          </cell>
          <cell r="J1507" t="str">
            <v>Beverages</v>
          </cell>
          <cell r="O1507">
            <v>9.6</v>
          </cell>
        </row>
        <row r="1508">
          <cell r="B1508">
            <v>45626</v>
          </cell>
          <cell r="J1508" t="str">
            <v>Beverages</v>
          </cell>
          <cell r="O1508">
            <v>6</v>
          </cell>
        </row>
        <row r="1509">
          <cell r="B1509">
            <v>45355</v>
          </cell>
          <cell r="J1509" t="str">
            <v>Traditional Food</v>
          </cell>
          <cell r="O1509">
            <v>8.5</v>
          </cell>
        </row>
        <row r="1510">
          <cell r="B1510">
            <v>45628</v>
          </cell>
          <cell r="J1510" t="str">
            <v>Beverages</v>
          </cell>
          <cell r="O1510">
            <v>0.75</v>
          </cell>
        </row>
        <row r="1511">
          <cell r="B1511">
            <v>45629</v>
          </cell>
          <cell r="J1511" t="str">
            <v>Dairy</v>
          </cell>
          <cell r="O1511">
            <v>63</v>
          </cell>
        </row>
        <row r="1512">
          <cell r="B1512">
            <v>45602</v>
          </cell>
          <cell r="J1512" t="str">
            <v>Handicrafts</v>
          </cell>
          <cell r="O1512">
            <v>136.80000000000001</v>
          </cell>
        </row>
        <row r="1513">
          <cell r="B1513">
            <v>45310</v>
          </cell>
          <cell r="J1513" t="str">
            <v>Traditional Food</v>
          </cell>
          <cell r="O1513">
            <v>3.5</v>
          </cell>
        </row>
        <row r="1514">
          <cell r="B1514">
            <v>45600</v>
          </cell>
          <cell r="J1514" t="str">
            <v>Beverages</v>
          </cell>
          <cell r="O1514">
            <v>27</v>
          </cell>
        </row>
        <row r="1515">
          <cell r="B1515">
            <v>45330</v>
          </cell>
          <cell r="J1515" t="str">
            <v>Beverages</v>
          </cell>
          <cell r="O1515">
            <v>18</v>
          </cell>
        </row>
        <row r="1516">
          <cell r="B1516">
            <v>45525</v>
          </cell>
          <cell r="J1516" t="str">
            <v>Beverages</v>
          </cell>
          <cell r="O1516">
            <v>2.25</v>
          </cell>
        </row>
        <row r="1517">
          <cell r="B1517">
            <v>45328</v>
          </cell>
          <cell r="J1517" t="str">
            <v>Beverages</v>
          </cell>
          <cell r="O1517">
            <v>8.1</v>
          </cell>
        </row>
        <row r="1518">
          <cell r="B1518">
            <v>45506</v>
          </cell>
          <cell r="J1518" t="str">
            <v>Handicrafts</v>
          </cell>
          <cell r="O1518">
            <v>60</v>
          </cell>
        </row>
        <row r="1519">
          <cell r="B1519">
            <v>45601</v>
          </cell>
          <cell r="J1519" t="str">
            <v>Groceries</v>
          </cell>
          <cell r="O1519">
            <v>22.4</v>
          </cell>
        </row>
        <row r="1520">
          <cell r="B1520">
            <v>45325</v>
          </cell>
          <cell r="J1520" t="str">
            <v>Traditional Food</v>
          </cell>
          <cell r="O1520">
            <v>24.75</v>
          </cell>
        </row>
        <row r="1521">
          <cell r="B1521">
            <v>45366</v>
          </cell>
          <cell r="J1521" t="str">
            <v>Handicrafts</v>
          </cell>
          <cell r="O1521">
            <v>64</v>
          </cell>
        </row>
        <row r="1522">
          <cell r="B1522">
            <v>45345</v>
          </cell>
          <cell r="J1522" t="str">
            <v>Beverages</v>
          </cell>
          <cell r="O1522">
            <v>3</v>
          </cell>
        </row>
        <row r="1523">
          <cell r="B1523">
            <v>45340</v>
          </cell>
          <cell r="J1523" t="str">
            <v>Handicrafts</v>
          </cell>
          <cell r="O1523">
            <v>595</v>
          </cell>
        </row>
        <row r="1524">
          <cell r="B1524">
            <v>45603</v>
          </cell>
          <cell r="J1524" t="str">
            <v>Handicrafts</v>
          </cell>
          <cell r="O1524">
            <v>140</v>
          </cell>
        </row>
        <row r="1525">
          <cell r="B1525">
            <v>45468</v>
          </cell>
          <cell r="J1525" t="str">
            <v>Groceries</v>
          </cell>
          <cell r="O1525">
            <v>47.88</v>
          </cell>
        </row>
        <row r="1526">
          <cell r="B1526">
            <v>45595</v>
          </cell>
          <cell r="J1526" t="str">
            <v>Groceries</v>
          </cell>
          <cell r="O1526">
            <v>14</v>
          </cell>
        </row>
        <row r="1527">
          <cell r="B1527">
            <v>45365</v>
          </cell>
          <cell r="J1527" t="str">
            <v>Beverages</v>
          </cell>
          <cell r="O1527">
            <v>12.35</v>
          </cell>
        </row>
        <row r="1528">
          <cell r="B1528">
            <v>45639</v>
          </cell>
          <cell r="J1528" t="str">
            <v>Handicrafts</v>
          </cell>
          <cell r="O1528">
            <v>240</v>
          </cell>
        </row>
        <row r="1529">
          <cell r="B1529">
            <v>45531</v>
          </cell>
          <cell r="J1529" t="str">
            <v>Groceries</v>
          </cell>
          <cell r="O1529">
            <v>15.3</v>
          </cell>
        </row>
        <row r="1530">
          <cell r="B1530">
            <v>45448</v>
          </cell>
          <cell r="J1530" t="str">
            <v>Dairy</v>
          </cell>
          <cell r="O1530">
            <v>10.5</v>
          </cell>
        </row>
        <row r="1531">
          <cell r="B1531">
            <v>45331</v>
          </cell>
          <cell r="J1531" t="str">
            <v>Traditional Food</v>
          </cell>
          <cell r="O1531">
            <v>8</v>
          </cell>
        </row>
        <row r="1532">
          <cell r="B1532">
            <v>45575</v>
          </cell>
          <cell r="J1532" t="str">
            <v>Traditional Food</v>
          </cell>
          <cell r="O1532">
            <v>13.6</v>
          </cell>
        </row>
        <row r="1533">
          <cell r="B1533">
            <v>45537</v>
          </cell>
          <cell r="J1533" t="str">
            <v>Groceries</v>
          </cell>
          <cell r="O1533">
            <v>18.239999999999998</v>
          </cell>
        </row>
        <row r="1534">
          <cell r="B1534">
            <v>45499</v>
          </cell>
          <cell r="J1534" t="str">
            <v>Groceries</v>
          </cell>
          <cell r="O1534">
            <v>1.9</v>
          </cell>
        </row>
        <row r="1535">
          <cell r="B1535">
            <v>45651</v>
          </cell>
          <cell r="J1535" t="str">
            <v>Traditional Food</v>
          </cell>
          <cell r="O1535">
            <v>8.1</v>
          </cell>
        </row>
        <row r="1536">
          <cell r="B1536">
            <v>45602</v>
          </cell>
          <cell r="J1536" t="str">
            <v>Dairy</v>
          </cell>
          <cell r="O1536">
            <v>52.5</v>
          </cell>
        </row>
        <row r="1537">
          <cell r="B1537">
            <v>45381</v>
          </cell>
          <cell r="J1537" t="str">
            <v>Dairy</v>
          </cell>
          <cell r="O1537">
            <v>10.5</v>
          </cell>
        </row>
        <row r="1538">
          <cell r="B1538">
            <v>45508</v>
          </cell>
          <cell r="J1538" t="str">
            <v>Handicrafts</v>
          </cell>
          <cell r="O1538">
            <v>192</v>
          </cell>
        </row>
        <row r="1539">
          <cell r="B1539">
            <v>45639</v>
          </cell>
          <cell r="J1539" t="str">
            <v>Traditional Food</v>
          </cell>
          <cell r="O1539">
            <v>16.96</v>
          </cell>
        </row>
        <row r="1540">
          <cell r="B1540">
            <v>45445</v>
          </cell>
          <cell r="J1540" t="str">
            <v>Traditional Food</v>
          </cell>
          <cell r="O1540">
            <v>40</v>
          </cell>
        </row>
        <row r="1541">
          <cell r="B1541">
            <v>45448</v>
          </cell>
          <cell r="J1541" t="str">
            <v>Groceries</v>
          </cell>
          <cell r="O1541">
            <v>40.46</v>
          </cell>
        </row>
        <row r="1542">
          <cell r="B1542">
            <v>45321</v>
          </cell>
          <cell r="J1542" t="str">
            <v>Groceries</v>
          </cell>
          <cell r="O1542">
            <v>10.8</v>
          </cell>
        </row>
        <row r="1543">
          <cell r="B1543">
            <v>45346</v>
          </cell>
          <cell r="J1543" t="str">
            <v>Handicrafts</v>
          </cell>
          <cell r="O1543">
            <v>35</v>
          </cell>
        </row>
        <row r="1544">
          <cell r="B1544">
            <v>45296</v>
          </cell>
          <cell r="J1544" t="str">
            <v>Groceries</v>
          </cell>
          <cell r="O1544">
            <v>11.2</v>
          </cell>
        </row>
        <row r="1545">
          <cell r="B1545">
            <v>45502</v>
          </cell>
          <cell r="J1545" t="str">
            <v>Dairy</v>
          </cell>
          <cell r="O1545">
            <v>14</v>
          </cell>
        </row>
        <row r="1546">
          <cell r="B1546">
            <v>45532</v>
          </cell>
          <cell r="J1546" t="str">
            <v>Clothing</v>
          </cell>
          <cell r="O1546">
            <v>234</v>
          </cell>
        </row>
        <row r="1547">
          <cell r="B1547">
            <v>45347</v>
          </cell>
          <cell r="J1547" t="str">
            <v>Beverages</v>
          </cell>
          <cell r="O1547">
            <v>10.199999999999999</v>
          </cell>
        </row>
        <row r="1548">
          <cell r="B1548">
            <v>45514</v>
          </cell>
          <cell r="J1548" t="str">
            <v>Beverages</v>
          </cell>
          <cell r="O1548">
            <v>1</v>
          </cell>
        </row>
        <row r="1549">
          <cell r="B1549">
            <v>45389</v>
          </cell>
          <cell r="J1549" t="str">
            <v>Beverages</v>
          </cell>
          <cell r="O1549">
            <v>15</v>
          </cell>
        </row>
        <row r="1550">
          <cell r="B1550">
            <v>45374</v>
          </cell>
          <cell r="J1550" t="str">
            <v>Handicrafts</v>
          </cell>
          <cell r="O1550">
            <v>56</v>
          </cell>
        </row>
        <row r="1551">
          <cell r="B1551">
            <v>45542</v>
          </cell>
          <cell r="J1551" t="str">
            <v>Traditional Food</v>
          </cell>
          <cell r="O1551">
            <v>45</v>
          </cell>
        </row>
        <row r="1552">
          <cell r="B1552">
            <v>45496</v>
          </cell>
          <cell r="J1552" t="str">
            <v>Beverages</v>
          </cell>
          <cell r="O1552">
            <v>15.3</v>
          </cell>
        </row>
        <row r="1553">
          <cell r="B1553">
            <v>45348</v>
          </cell>
          <cell r="J1553" t="str">
            <v>Groceries</v>
          </cell>
          <cell r="O1553">
            <v>9.52</v>
          </cell>
        </row>
        <row r="1554">
          <cell r="B1554">
            <v>45642</v>
          </cell>
          <cell r="J1554" t="str">
            <v>Handicrafts</v>
          </cell>
          <cell r="O1554">
            <v>96</v>
          </cell>
        </row>
        <row r="1555">
          <cell r="B1555">
            <v>45514</v>
          </cell>
          <cell r="J1555" t="str">
            <v>Groceries</v>
          </cell>
          <cell r="O1555">
            <v>19.2</v>
          </cell>
        </row>
        <row r="1556">
          <cell r="B1556">
            <v>45608</v>
          </cell>
          <cell r="J1556" t="str">
            <v>Groceries</v>
          </cell>
          <cell r="O1556">
            <v>5.4</v>
          </cell>
        </row>
        <row r="1557">
          <cell r="B1557">
            <v>45426</v>
          </cell>
          <cell r="J1557" t="str">
            <v>Clothing</v>
          </cell>
          <cell r="O1557">
            <v>129.6</v>
          </cell>
        </row>
        <row r="1558">
          <cell r="B1558">
            <v>45650</v>
          </cell>
          <cell r="J1558" t="str">
            <v>Dairy</v>
          </cell>
          <cell r="O1558">
            <v>24.14</v>
          </cell>
        </row>
        <row r="1559">
          <cell r="B1559">
            <v>45353</v>
          </cell>
          <cell r="J1559" t="str">
            <v>Beverages</v>
          </cell>
          <cell r="O1559">
            <v>5</v>
          </cell>
        </row>
        <row r="1560">
          <cell r="B1560">
            <v>45301</v>
          </cell>
          <cell r="J1560" t="str">
            <v>Beverages</v>
          </cell>
          <cell r="O1560">
            <v>20</v>
          </cell>
        </row>
        <row r="1561">
          <cell r="B1561">
            <v>45560</v>
          </cell>
          <cell r="J1561" t="str">
            <v>Groceries</v>
          </cell>
          <cell r="O1561">
            <v>25.2</v>
          </cell>
        </row>
        <row r="1562">
          <cell r="B1562">
            <v>45510</v>
          </cell>
          <cell r="J1562" t="str">
            <v>Beverages</v>
          </cell>
          <cell r="O1562">
            <v>12</v>
          </cell>
        </row>
        <row r="1563">
          <cell r="B1563">
            <v>45348</v>
          </cell>
          <cell r="J1563" t="str">
            <v>Traditional Food</v>
          </cell>
          <cell r="O1563">
            <v>4.5</v>
          </cell>
        </row>
        <row r="1564">
          <cell r="B1564">
            <v>45455</v>
          </cell>
          <cell r="J1564" t="str">
            <v>Groceries</v>
          </cell>
          <cell r="O1564">
            <v>2.4</v>
          </cell>
        </row>
        <row r="1565">
          <cell r="B1565">
            <v>45438</v>
          </cell>
          <cell r="J1565" t="str">
            <v>Handicrafts</v>
          </cell>
          <cell r="O1565">
            <v>128</v>
          </cell>
        </row>
        <row r="1566">
          <cell r="B1566">
            <v>45421</v>
          </cell>
          <cell r="J1566" t="str">
            <v>Groceries</v>
          </cell>
          <cell r="O1566">
            <v>19.2</v>
          </cell>
        </row>
        <row r="1567">
          <cell r="B1567">
            <v>45641</v>
          </cell>
          <cell r="J1567" t="str">
            <v>Traditional Food</v>
          </cell>
          <cell r="O1567">
            <v>38.159999999999997</v>
          </cell>
        </row>
        <row r="1568">
          <cell r="B1568">
            <v>45593</v>
          </cell>
          <cell r="J1568" t="str">
            <v>Handicrafts</v>
          </cell>
          <cell r="O1568">
            <v>193.8</v>
          </cell>
        </row>
        <row r="1569">
          <cell r="B1569">
            <v>45591</v>
          </cell>
          <cell r="J1569" t="str">
            <v>Clothing</v>
          </cell>
          <cell r="O1569">
            <v>234</v>
          </cell>
        </row>
        <row r="1570">
          <cell r="B1570">
            <v>45592</v>
          </cell>
          <cell r="J1570" t="str">
            <v>Traditional Food</v>
          </cell>
          <cell r="O1570">
            <v>17.5</v>
          </cell>
        </row>
        <row r="1571">
          <cell r="B1571">
            <v>45571</v>
          </cell>
          <cell r="J1571" t="str">
            <v>Traditional Food</v>
          </cell>
          <cell r="O1571">
            <v>50</v>
          </cell>
        </row>
        <row r="1572">
          <cell r="B1572">
            <v>45314</v>
          </cell>
          <cell r="J1572" t="str">
            <v>Beverages</v>
          </cell>
          <cell r="O1572">
            <v>7.5</v>
          </cell>
        </row>
        <row r="1573">
          <cell r="B1573">
            <v>45479</v>
          </cell>
          <cell r="J1573" t="str">
            <v>Clothing</v>
          </cell>
          <cell r="O1573">
            <v>243</v>
          </cell>
        </row>
        <row r="1574">
          <cell r="B1574">
            <v>45539</v>
          </cell>
          <cell r="J1574" t="str">
            <v>Groceries</v>
          </cell>
          <cell r="O1574">
            <v>15.96</v>
          </cell>
        </row>
        <row r="1575">
          <cell r="B1575">
            <v>45598</v>
          </cell>
          <cell r="J1575" t="str">
            <v>Traditional Food</v>
          </cell>
          <cell r="O1575">
            <v>4.05</v>
          </cell>
        </row>
        <row r="1576">
          <cell r="B1576">
            <v>45647</v>
          </cell>
          <cell r="J1576" t="str">
            <v>Traditional Food</v>
          </cell>
          <cell r="O1576">
            <v>3.15</v>
          </cell>
        </row>
        <row r="1577">
          <cell r="B1577">
            <v>45376</v>
          </cell>
          <cell r="J1577" t="str">
            <v>Groceries</v>
          </cell>
          <cell r="O1577">
            <v>25.5</v>
          </cell>
        </row>
        <row r="1578">
          <cell r="B1578">
            <v>45602</v>
          </cell>
          <cell r="J1578" t="str">
            <v>Groceries</v>
          </cell>
          <cell r="O1578">
            <v>25.2</v>
          </cell>
        </row>
        <row r="1579">
          <cell r="B1579">
            <v>45554</v>
          </cell>
          <cell r="J1579" t="str">
            <v>Beverages</v>
          </cell>
          <cell r="O1579">
            <v>21.3</v>
          </cell>
        </row>
        <row r="1580">
          <cell r="B1580">
            <v>45404</v>
          </cell>
          <cell r="J1580" t="str">
            <v>Clothing</v>
          </cell>
          <cell r="O1580">
            <v>162</v>
          </cell>
        </row>
        <row r="1581">
          <cell r="B1581">
            <v>45315</v>
          </cell>
          <cell r="J1581" t="str">
            <v>Beverages</v>
          </cell>
          <cell r="O1581">
            <v>13.5</v>
          </cell>
        </row>
        <row r="1582">
          <cell r="B1582">
            <v>45360</v>
          </cell>
          <cell r="J1582" t="str">
            <v>Beverages</v>
          </cell>
          <cell r="O1582">
            <v>7.65</v>
          </cell>
        </row>
        <row r="1583">
          <cell r="B1583">
            <v>45565</v>
          </cell>
          <cell r="J1583" t="str">
            <v>Beverages</v>
          </cell>
          <cell r="O1583">
            <v>3</v>
          </cell>
        </row>
        <row r="1584">
          <cell r="B1584">
            <v>45334</v>
          </cell>
          <cell r="J1584" t="str">
            <v>Handicrafts</v>
          </cell>
          <cell r="O1584">
            <v>216</v>
          </cell>
        </row>
        <row r="1585">
          <cell r="B1585">
            <v>45321</v>
          </cell>
          <cell r="J1585" t="str">
            <v>Handicrafts</v>
          </cell>
          <cell r="O1585">
            <v>29.75</v>
          </cell>
        </row>
        <row r="1586">
          <cell r="B1586">
            <v>45423</v>
          </cell>
          <cell r="J1586" t="str">
            <v>Clothing</v>
          </cell>
          <cell r="O1586">
            <v>17.100000000000001</v>
          </cell>
        </row>
        <row r="1587">
          <cell r="B1587">
            <v>45626</v>
          </cell>
          <cell r="J1587" t="str">
            <v>Traditional Food</v>
          </cell>
          <cell r="O1587">
            <v>19.079999999999998</v>
          </cell>
        </row>
        <row r="1588">
          <cell r="B1588">
            <v>45518</v>
          </cell>
          <cell r="J1588" t="str">
            <v>Groceries</v>
          </cell>
          <cell r="O1588">
            <v>16</v>
          </cell>
        </row>
        <row r="1589">
          <cell r="B1589">
            <v>45520</v>
          </cell>
          <cell r="J1589" t="str">
            <v>Groceries</v>
          </cell>
          <cell r="O1589">
            <v>20.16</v>
          </cell>
        </row>
        <row r="1590">
          <cell r="B1590">
            <v>45339</v>
          </cell>
          <cell r="J1590" t="str">
            <v>Beverages</v>
          </cell>
          <cell r="O1590">
            <v>16</v>
          </cell>
        </row>
        <row r="1591">
          <cell r="B1591">
            <v>45583</v>
          </cell>
          <cell r="J1591" t="str">
            <v>Beverages</v>
          </cell>
          <cell r="O1591">
            <v>10.88</v>
          </cell>
        </row>
        <row r="1592">
          <cell r="B1592">
            <v>45375</v>
          </cell>
          <cell r="J1592" t="str">
            <v>Traditional Food</v>
          </cell>
          <cell r="O1592">
            <v>2.52</v>
          </cell>
        </row>
        <row r="1593">
          <cell r="B1593">
            <v>45365</v>
          </cell>
          <cell r="J1593" t="str">
            <v>Beverages</v>
          </cell>
          <cell r="O1593">
            <v>4.5</v>
          </cell>
        </row>
        <row r="1594">
          <cell r="B1594">
            <v>45561</v>
          </cell>
          <cell r="J1594" t="str">
            <v>Groceries</v>
          </cell>
          <cell r="O1594">
            <v>12.6</v>
          </cell>
        </row>
        <row r="1595">
          <cell r="B1595">
            <v>45488</v>
          </cell>
          <cell r="J1595" t="str">
            <v>Traditional Food</v>
          </cell>
          <cell r="O1595">
            <v>2.5</v>
          </cell>
        </row>
        <row r="1596">
          <cell r="B1596">
            <v>45419</v>
          </cell>
          <cell r="J1596" t="str">
            <v>Traditional Food</v>
          </cell>
          <cell r="O1596">
            <v>1.5</v>
          </cell>
        </row>
        <row r="1597">
          <cell r="B1597">
            <v>45346</v>
          </cell>
          <cell r="J1597" t="str">
            <v>Traditional Food</v>
          </cell>
          <cell r="O1597">
            <v>8.1</v>
          </cell>
        </row>
        <row r="1598">
          <cell r="B1598">
            <v>45363</v>
          </cell>
          <cell r="J1598" t="str">
            <v>Traditional Food</v>
          </cell>
          <cell r="O1598">
            <v>13.6</v>
          </cell>
        </row>
        <row r="1599">
          <cell r="B1599">
            <v>45461</v>
          </cell>
          <cell r="J1599" t="str">
            <v>Beverages</v>
          </cell>
          <cell r="O1599">
            <v>12</v>
          </cell>
        </row>
        <row r="1600">
          <cell r="B1600">
            <v>45302</v>
          </cell>
          <cell r="J1600" t="str">
            <v>Clothing</v>
          </cell>
          <cell r="O1600">
            <v>36</v>
          </cell>
        </row>
        <row r="1601">
          <cell r="B1601">
            <v>45364</v>
          </cell>
          <cell r="J1601" t="str">
            <v>Dairy</v>
          </cell>
          <cell r="O1601">
            <v>3.5</v>
          </cell>
        </row>
        <row r="1602">
          <cell r="B1602">
            <v>45472</v>
          </cell>
          <cell r="J1602" t="str">
            <v>Groceries</v>
          </cell>
          <cell r="O1602">
            <v>28</v>
          </cell>
        </row>
        <row r="1603">
          <cell r="B1603">
            <v>45543</v>
          </cell>
          <cell r="J1603" t="str">
            <v>Groceries</v>
          </cell>
          <cell r="O1603">
            <v>16.8</v>
          </cell>
        </row>
        <row r="1604">
          <cell r="B1604">
            <v>45331</v>
          </cell>
          <cell r="J1604" t="str">
            <v>Handicrafts</v>
          </cell>
          <cell r="O1604">
            <v>700</v>
          </cell>
        </row>
        <row r="1605">
          <cell r="B1605">
            <v>45601</v>
          </cell>
          <cell r="J1605" t="str">
            <v>Traditional Food</v>
          </cell>
          <cell r="O1605">
            <v>5</v>
          </cell>
        </row>
        <row r="1606">
          <cell r="B1606">
            <v>45368</v>
          </cell>
          <cell r="J1606" t="str">
            <v>Beverages</v>
          </cell>
          <cell r="O1606">
            <v>7.1</v>
          </cell>
        </row>
        <row r="1607">
          <cell r="B1607">
            <v>45547</v>
          </cell>
          <cell r="J1607" t="str">
            <v>Traditional Food</v>
          </cell>
          <cell r="O1607">
            <v>30</v>
          </cell>
        </row>
        <row r="1608">
          <cell r="B1608">
            <v>45368</v>
          </cell>
          <cell r="J1608" t="str">
            <v>Traditional Food</v>
          </cell>
          <cell r="O1608">
            <v>5</v>
          </cell>
        </row>
        <row r="1609">
          <cell r="B1609">
            <v>45349</v>
          </cell>
          <cell r="J1609" t="str">
            <v>Dairy</v>
          </cell>
          <cell r="O1609">
            <v>28.5</v>
          </cell>
        </row>
        <row r="1610">
          <cell r="B1610">
            <v>45457</v>
          </cell>
          <cell r="J1610" t="str">
            <v>Beverages</v>
          </cell>
          <cell r="O1610">
            <v>5</v>
          </cell>
        </row>
        <row r="1611">
          <cell r="B1611">
            <v>45509</v>
          </cell>
          <cell r="J1611" t="str">
            <v>Handicrafts</v>
          </cell>
          <cell r="O1611">
            <v>115.2</v>
          </cell>
        </row>
        <row r="1612">
          <cell r="B1612">
            <v>45626</v>
          </cell>
          <cell r="J1612" t="str">
            <v>Handicrafts</v>
          </cell>
          <cell r="O1612">
            <v>64</v>
          </cell>
        </row>
        <row r="1613">
          <cell r="B1613">
            <v>45564</v>
          </cell>
          <cell r="J1613" t="str">
            <v>Groceries</v>
          </cell>
          <cell r="O1613">
            <v>30.6</v>
          </cell>
        </row>
        <row r="1614">
          <cell r="B1614">
            <v>45651</v>
          </cell>
          <cell r="J1614" t="str">
            <v>Groceries</v>
          </cell>
          <cell r="O1614">
            <v>3.6</v>
          </cell>
        </row>
        <row r="1615">
          <cell r="B1615">
            <v>45577</v>
          </cell>
          <cell r="J1615" t="str">
            <v>Traditional Food</v>
          </cell>
          <cell r="O1615">
            <v>8</v>
          </cell>
        </row>
        <row r="1616">
          <cell r="B1616">
            <v>45363</v>
          </cell>
          <cell r="J1616" t="str">
            <v>Handicrafts</v>
          </cell>
          <cell r="O1616">
            <v>120</v>
          </cell>
        </row>
        <row r="1617">
          <cell r="B1617">
            <v>45416</v>
          </cell>
          <cell r="J1617" t="str">
            <v>Groceries</v>
          </cell>
          <cell r="O1617">
            <v>11.9</v>
          </cell>
        </row>
        <row r="1618">
          <cell r="B1618">
            <v>45648</v>
          </cell>
          <cell r="J1618" t="str">
            <v>Beverages</v>
          </cell>
          <cell r="O1618">
            <v>5</v>
          </cell>
        </row>
        <row r="1619">
          <cell r="B1619">
            <v>45319</v>
          </cell>
          <cell r="J1619" t="str">
            <v>Groceries</v>
          </cell>
          <cell r="O1619">
            <v>4.32</v>
          </cell>
        </row>
        <row r="1620">
          <cell r="B1620">
            <v>45367</v>
          </cell>
          <cell r="J1620" t="str">
            <v>Beverages</v>
          </cell>
          <cell r="O1620">
            <v>9</v>
          </cell>
        </row>
        <row r="1621">
          <cell r="B1621">
            <v>45368</v>
          </cell>
          <cell r="J1621" t="str">
            <v>Traditional Food</v>
          </cell>
          <cell r="O1621">
            <v>3</v>
          </cell>
        </row>
        <row r="1622">
          <cell r="B1622">
            <v>45532</v>
          </cell>
          <cell r="J1622" t="str">
            <v>Dairy</v>
          </cell>
          <cell r="O1622">
            <v>44.1</v>
          </cell>
        </row>
        <row r="1623">
          <cell r="B1623">
            <v>45348</v>
          </cell>
          <cell r="J1623" t="str">
            <v>Traditional Food</v>
          </cell>
          <cell r="O1623">
            <v>2.5</v>
          </cell>
        </row>
        <row r="1624">
          <cell r="B1624">
            <v>45297</v>
          </cell>
          <cell r="J1624" t="str">
            <v>Beverages</v>
          </cell>
          <cell r="O1624">
            <v>8.32</v>
          </cell>
        </row>
        <row r="1625">
          <cell r="B1625">
            <v>45584</v>
          </cell>
          <cell r="J1625" t="str">
            <v>Groceries</v>
          </cell>
          <cell r="O1625">
            <v>15.3</v>
          </cell>
        </row>
        <row r="1626">
          <cell r="B1626">
            <v>45339</v>
          </cell>
          <cell r="J1626" t="str">
            <v>Beverages</v>
          </cell>
          <cell r="O1626">
            <v>12.75</v>
          </cell>
        </row>
        <row r="1627">
          <cell r="B1627">
            <v>45608</v>
          </cell>
          <cell r="J1627" t="str">
            <v>Beverages</v>
          </cell>
          <cell r="O1627">
            <v>3</v>
          </cell>
        </row>
        <row r="1628">
          <cell r="B1628">
            <v>45646</v>
          </cell>
          <cell r="J1628" t="str">
            <v>Groceries</v>
          </cell>
          <cell r="O1628">
            <v>30</v>
          </cell>
        </row>
        <row r="1629">
          <cell r="B1629">
            <v>45376</v>
          </cell>
          <cell r="J1629" t="str">
            <v>Groceries</v>
          </cell>
          <cell r="O1629">
            <v>4.76</v>
          </cell>
        </row>
        <row r="1630">
          <cell r="B1630">
            <v>45347</v>
          </cell>
          <cell r="J1630" t="str">
            <v>Beverages</v>
          </cell>
          <cell r="O1630">
            <v>6</v>
          </cell>
        </row>
        <row r="1631">
          <cell r="B1631">
            <v>45414</v>
          </cell>
          <cell r="J1631" t="str">
            <v>Handicrafts</v>
          </cell>
          <cell r="O1631">
            <v>80</v>
          </cell>
        </row>
        <row r="1632">
          <cell r="B1632">
            <v>45450</v>
          </cell>
          <cell r="J1632" t="str">
            <v>Beverages</v>
          </cell>
          <cell r="O1632">
            <v>9.94</v>
          </cell>
        </row>
        <row r="1633">
          <cell r="B1633">
            <v>45429</v>
          </cell>
          <cell r="J1633" t="str">
            <v>Traditional Food</v>
          </cell>
          <cell r="O1633">
            <v>1.41</v>
          </cell>
        </row>
        <row r="1634">
          <cell r="B1634">
            <v>45316</v>
          </cell>
          <cell r="J1634" t="str">
            <v>Dairy</v>
          </cell>
          <cell r="O1634">
            <v>16.5</v>
          </cell>
        </row>
        <row r="1635">
          <cell r="B1635">
            <v>45495</v>
          </cell>
          <cell r="J1635" t="str">
            <v>Handicrafts</v>
          </cell>
          <cell r="O1635">
            <v>204</v>
          </cell>
        </row>
        <row r="1636">
          <cell r="B1636">
            <v>45651</v>
          </cell>
          <cell r="J1636" t="str">
            <v>Handicrafts</v>
          </cell>
          <cell r="O1636">
            <v>48</v>
          </cell>
        </row>
        <row r="1637">
          <cell r="B1637">
            <v>45549</v>
          </cell>
          <cell r="J1637" t="str">
            <v>Dairy</v>
          </cell>
          <cell r="O1637">
            <v>17.5</v>
          </cell>
        </row>
        <row r="1638">
          <cell r="B1638">
            <v>45440</v>
          </cell>
          <cell r="J1638" t="str">
            <v>Dairy</v>
          </cell>
          <cell r="O1638">
            <v>9</v>
          </cell>
        </row>
        <row r="1639">
          <cell r="B1639">
            <v>45402</v>
          </cell>
          <cell r="J1639" t="str">
            <v>Traditional Food</v>
          </cell>
          <cell r="O1639">
            <v>4.25</v>
          </cell>
        </row>
        <row r="1640">
          <cell r="B1640">
            <v>45521</v>
          </cell>
          <cell r="J1640" t="str">
            <v>Dairy</v>
          </cell>
          <cell r="O1640">
            <v>17.5</v>
          </cell>
        </row>
        <row r="1641">
          <cell r="B1641">
            <v>45656</v>
          </cell>
          <cell r="J1641" t="str">
            <v>Groceries</v>
          </cell>
          <cell r="O1641">
            <v>15.6</v>
          </cell>
        </row>
        <row r="1642">
          <cell r="B1642">
            <v>45582</v>
          </cell>
          <cell r="J1642" t="str">
            <v>Traditional Food</v>
          </cell>
          <cell r="O1642">
            <v>16</v>
          </cell>
        </row>
        <row r="1643">
          <cell r="B1643">
            <v>45547</v>
          </cell>
          <cell r="J1643" t="str">
            <v>Handicrafts</v>
          </cell>
          <cell r="O1643">
            <v>140</v>
          </cell>
        </row>
        <row r="1644">
          <cell r="B1644">
            <v>45326</v>
          </cell>
          <cell r="J1644" t="str">
            <v>Handicrafts</v>
          </cell>
          <cell r="O1644">
            <v>299.25</v>
          </cell>
        </row>
        <row r="1645">
          <cell r="B1645">
            <v>45655</v>
          </cell>
          <cell r="J1645" t="str">
            <v>Traditional Food</v>
          </cell>
          <cell r="O1645">
            <v>15</v>
          </cell>
        </row>
        <row r="1646">
          <cell r="B1646">
            <v>45355</v>
          </cell>
          <cell r="J1646" t="str">
            <v>Groceries</v>
          </cell>
          <cell r="O1646">
            <v>17.100000000000001</v>
          </cell>
        </row>
        <row r="1647">
          <cell r="B1647">
            <v>45501</v>
          </cell>
          <cell r="J1647" t="str">
            <v>Handicrafts</v>
          </cell>
          <cell r="O1647">
            <v>630</v>
          </cell>
        </row>
        <row r="1648">
          <cell r="B1648">
            <v>45483</v>
          </cell>
          <cell r="J1648" t="str">
            <v>Dairy</v>
          </cell>
          <cell r="O1648">
            <v>9.4499999999999993</v>
          </cell>
        </row>
        <row r="1649">
          <cell r="B1649">
            <v>45609</v>
          </cell>
          <cell r="J1649" t="str">
            <v>Clothing</v>
          </cell>
          <cell r="O1649">
            <v>32.4</v>
          </cell>
        </row>
        <row r="1650">
          <cell r="B1650">
            <v>45371</v>
          </cell>
          <cell r="J1650" t="str">
            <v>Groceries</v>
          </cell>
          <cell r="O1650">
            <v>8</v>
          </cell>
        </row>
        <row r="1651">
          <cell r="B1651">
            <v>45406</v>
          </cell>
          <cell r="J1651" t="str">
            <v>Groceries</v>
          </cell>
          <cell r="O1651">
            <v>30.94</v>
          </cell>
        </row>
        <row r="1652">
          <cell r="B1652">
            <v>45531</v>
          </cell>
          <cell r="J1652" t="str">
            <v>Handicrafts</v>
          </cell>
          <cell r="O1652">
            <v>183.6</v>
          </cell>
        </row>
        <row r="1653">
          <cell r="B1653">
            <v>45495</v>
          </cell>
          <cell r="J1653" t="str">
            <v>Beverages</v>
          </cell>
          <cell r="O1653">
            <v>10.5</v>
          </cell>
        </row>
        <row r="1654">
          <cell r="B1654">
            <v>45601</v>
          </cell>
          <cell r="J1654" t="str">
            <v>Handicrafts</v>
          </cell>
          <cell r="O1654">
            <v>128</v>
          </cell>
        </row>
        <row r="1655">
          <cell r="B1655">
            <v>45524</v>
          </cell>
          <cell r="J1655" t="str">
            <v>Traditional Food</v>
          </cell>
          <cell r="O1655">
            <v>4.76</v>
          </cell>
        </row>
        <row r="1656">
          <cell r="B1656">
            <v>45455</v>
          </cell>
          <cell r="J1656" t="str">
            <v>Beverages</v>
          </cell>
          <cell r="O1656">
            <v>19</v>
          </cell>
        </row>
        <row r="1657">
          <cell r="B1657">
            <v>45477</v>
          </cell>
          <cell r="J1657" t="str">
            <v>Groceries</v>
          </cell>
          <cell r="O1657">
            <v>39.200000000000003</v>
          </cell>
        </row>
        <row r="1658">
          <cell r="B1658">
            <v>45430</v>
          </cell>
          <cell r="J1658" t="str">
            <v>Traditional Food</v>
          </cell>
          <cell r="O1658">
            <v>4.05</v>
          </cell>
        </row>
        <row r="1659">
          <cell r="B1659">
            <v>45499</v>
          </cell>
          <cell r="J1659" t="str">
            <v>Traditional Food</v>
          </cell>
          <cell r="O1659">
            <v>3</v>
          </cell>
        </row>
        <row r="1660">
          <cell r="B1660">
            <v>45634</v>
          </cell>
          <cell r="J1660" t="str">
            <v>Groceries</v>
          </cell>
          <cell r="O1660">
            <v>10.8</v>
          </cell>
        </row>
        <row r="1661">
          <cell r="B1661">
            <v>45444</v>
          </cell>
          <cell r="J1661" t="str">
            <v>Groceries</v>
          </cell>
          <cell r="O1661">
            <v>7.2</v>
          </cell>
        </row>
        <row r="1662">
          <cell r="B1662">
            <v>45566</v>
          </cell>
          <cell r="J1662" t="str">
            <v>Dairy</v>
          </cell>
          <cell r="O1662">
            <v>8.1</v>
          </cell>
        </row>
        <row r="1663">
          <cell r="B1663">
            <v>45579</v>
          </cell>
          <cell r="J1663" t="str">
            <v>Groceries</v>
          </cell>
          <cell r="O1663">
            <v>56</v>
          </cell>
        </row>
        <row r="1664">
          <cell r="B1664">
            <v>45632</v>
          </cell>
          <cell r="J1664" t="str">
            <v>Beverages</v>
          </cell>
          <cell r="O1664">
            <v>11</v>
          </cell>
        </row>
        <row r="1665">
          <cell r="B1665">
            <v>45454</v>
          </cell>
          <cell r="J1665" t="str">
            <v>Beverages</v>
          </cell>
          <cell r="O1665">
            <v>3.4</v>
          </cell>
        </row>
        <row r="1666">
          <cell r="B1666">
            <v>45522</v>
          </cell>
          <cell r="J1666" t="str">
            <v>Clothing</v>
          </cell>
          <cell r="O1666">
            <v>81</v>
          </cell>
        </row>
        <row r="1667">
          <cell r="B1667">
            <v>45403</v>
          </cell>
          <cell r="J1667" t="str">
            <v>Traditional Food</v>
          </cell>
          <cell r="O1667">
            <v>17.5</v>
          </cell>
        </row>
        <row r="1668">
          <cell r="B1668">
            <v>45402</v>
          </cell>
          <cell r="J1668" t="str">
            <v>Beverages</v>
          </cell>
          <cell r="O1668">
            <v>9</v>
          </cell>
        </row>
        <row r="1669">
          <cell r="B1669">
            <v>45478</v>
          </cell>
          <cell r="J1669" t="str">
            <v>Traditional Food</v>
          </cell>
          <cell r="O1669">
            <v>0.5</v>
          </cell>
        </row>
        <row r="1670">
          <cell r="B1670">
            <v>45624</v>
          </cell>
          <cell r="J1670" t="str">
            <v>Traditional Food</v>
          </cell>
          <cell r="O1670">
            <v>37.5</v>
          </cell>
        </row>
        <row r="1671">
          <cell r="B1671">
            <v>45559</v>
          </cell>
          <cell r="J1671" t="str">
            <v>Groceries</v>
          </cell>
          <cell r="O1671">
            <v>22</v>
          </cell>
        </row>
        <row r="1672">
          <cell r="B1672">
            <v>45382</v>
          </cell>
          <cell r="J1672" t="str">
            <v>Groceries</v>
          </cell>
          <cell r="O1672">
            <v>20.52</v>
          </cell>
        </row>
        <row r="1673">
          <cell r="B1673">
            <v>45629</v>
          </cell>
          <cell r="J1673" t="str">
            <v>Groceries</v>
          </cell>
          <cell r="O1673">
            <v>35.28</v>
          </cell>
        </row>
        <row r="1674">
          <cell r="B1674">
            <v>45345</v>
          </cell>
          <cell r="J1674" t="str">
            <v>Traditional Food</v>
          </cell>
          <cell r="O1674">
            <v>6.75</v>
          </cell>
        </row>
        <row r="1675">
          <cell r="B1675">
            <v>45546</v>
          </cell>
          <cell r="J1675" t="str">
            <v>Groceries</v>
          </cell>
          <cell r="O1675">
            <v>22.8</v>
          </cell>
        </row>
        <row r="1676">
          <cell r="B1676">
            <v>45633</v>
          </cell>
          <cell r="J1676" t="str">
            <v>Dairy</v>
          </cell>
          <cell r="O1676">
            <v>29.8</v>
          </cell>
        </row>
        <row r="1677">
          <cell r="B1677">
            <v>45350</v>
          </cell>
          <cell r="J1677" t="str">
            <v>Groceries</v>
          </cell>
          <cell r="O1677">
            <v>5.39</v>
          </cell>
        </row>
        <row r="1678">
          <cell r="B1678">
            <v>45503</v>
          </cell>
          <cell r="J1678" t="str">
            <v>Handicrafts</v>
          </cell>
          <cell r="O1678">
            <v>156</v>
          </cell>
        </row>
        <row r="1679">
          <cell r="B1679">
            <v>45429</v>
          </cell>
          <cell r="J1679" t="str">
            <v>Beverages</v>
          </cell>
          <cell r="O1679">
            <v>6.75</v>
          </cell>
        </row>
        <row r="1680">
          <cell r="B1680">
            <v>45294</v>
          </cell>
          <cell r="J1680" t="str">
            <v>Groceries</v>
          </cell>
          <cell r="O1680">
            <v>16.8</v>
          </cell>
        </row>
        <row r="1681">
          <cell r="B1681">
            <v>45463</v>
          </cell>
          <cell r="J1681" t="str">
            <v>Handicrafts</v>
          </cell>
          <cell r="O1681">
            <v>68.400000000000006</v>
          </cell>
        </row>
        <row r="1682">
          <cell r="B1682">
            <v>45390</v>
          </cell>
          <cell r="J1682" t="str">
            <v>Groceries</v>
          </cell>
          <cell r="O1682">
            <v>36</v>
          </cell>
        </row>
        <row r="1683">
          <cell r="B1683">
            <v>45617</v>
          </cell>
          <cell r="J1683" t="str">
            <v>Groceries</v>
          </cell>
          <cell r="O1683">
            <v>14.04</v>
          </cell>
        </row>
        <row r="1684">
          <cell r="B1684">
            <v>45515</v>
          </cell>
          <cell r="J1684" t="str">
            <v>Handicrafts</v>
          </cell>
          <cell r="O1684">
            <v>64</v>
          </cell>
        </row>
        <row r="1685">
          <cell r="B1685">
            <v>45615</v>
          </cell>
          <cell r="J1685" t="str">
            <v>Dairy</v>
          </cell>
          <cell r="O1685">
            <v>56.62</v>
          </cell>
        </row>
        <row r="1686">
          <cell r="B1686">
            <v>45457</v>
          </cell>
          <cell r="J1686" t="str">
            <v>Clothing</v>
          </cell>
          <cell r="O1686">
            <v>126</v>
          </cell>
        </row>
        <row r="1687">
          <cell r="B1687">
            <v>45306</v>
          </cell>
          <cell r="J1687" t="str">
            <v>Traditional Food</v>
          </cell>
          <cell r="O1687">
            <v>9</v>
          </cell>
        </row>
        <row r="1688">
          <cell r="B1688">
            <v>45304</v>
          </cell>
          <cell r="J1688" t="str">
            <v>Traditional Food</v>
          </cell>
          <cell r="O1688">
            <v>5</v>
          </cell>
        </row>
        <row r="1689">
          <cell r="B1689">
            <v>45414</v>
          </cell>
          <cell r="J1689" t="str">
            <v>Handicrafts</v>
          </cell>
          <cell r="O1689">
            <v>96</v>
          </cell>
        </row>
        <row r="1690">
          <cell r="B1690">
            <v>45425</v>
          </cell>
          <cell r="J1690" t="str">
            <v>Beverages</v>
          </cell>
          <cell r="O1690">
            <v>1.5</v>
          </cell>
        </row>
        <row r="1691">
          <cell r="B1691">
            <v>45348</v>
          </cell>
          <cell r="J1691" t="str">
            <v>Traditional Food</v>
          </cell>
          <cell r="O1691">
            <v>7.05</v>
          </cell>
        </row>
        <row r="1692">
          <cell r="B1692">
            <v>45384</v>
          </cell>
          <cell r="J1692" t="str">
            <v>Handicrafts</v>
          </cell>
          <cell r="O1692">
            <v>105</v>
          </cell>
        </row>
        <row r="1693">
          <cell r="B1693">
            <v>45343</v>
          </cell>
          <cell r="J1693" t="str">
            <v>Beverages</v>
          </cell>
          <cell r="O1693">
            <v>20.32</v>
          </cell>
        </row>
        <row r="1694">
          <cell r="B1694">
            <v>45399</v>
          </cell>
          <cell r="J1694" t="str">
            <v>Dairy</v>
          </cell>
          <cell r="O1694">
            <v>21</v>
          </cell>
        </row>
        <row r="1695">
          <cell r="B1695">
            <v>45384</v>
          </cell>
          <cell r="J1695" t="str">
            <v>Groceries</v>
          </cell>
          <cell r="O1695">
            <v>9</v>
          </cell>
        </row>
        <row r="1696">
          <cell r="B1696">
            <v>45467</v>
          </cell>
          <cell r="J1696" t="str">
            <v>Traditional Food</v>
          </cell>
          <cell r="O1696">
            <v>6</v>
          </cell>
        </row>
        <row r="1697">
          <cell r="B1697">
            <v>45373</v>
          </cell>
          <cell r="J1697" t="str">
            <v>Groceries</v>
          </cell>
          <cell r="O1697">
            <v>30.6</v>
          </cell>
        </row>
        <row r="1698">
          <cell r="B1698">
            <v>45566</v>
          </cell>
          <cell r="J1698" t="str">
            <v>Beverages</v>
          </cell>
          <cell r="O1698">
            <v>1.42</v>
          </cell>
        </row>
        <row r="1699">
          <cell r="B1699">
            <v>45350</v>
          </cell>
          <cell r="J1699" t="str">
            <v>Beverages</v>
          </cell>
          <cell r="O1699">
            <v>10.5</v>
          </cell>
        </row>
        <row r="1700">
          <cell r="B1700">
            <v>45429</v>
          </cell>
          <cell r="J1700" t="str">
            <v>Traditional Food</v>
          </cell>
          <cell r="O1700">
            <v>9</v>
          </cell>
        </row>
        <row r="1701">
          <cell r="B1701">
            <v>45531</v>
          </cell>
          <cell r="J1701" t="str">
            <v>Handicrafts</v>
          </cell>
          <cell r="O1701">
            <v>192</v>
          </cell>
        </row>
        <row r="1702">
          <cell r="B1702">
            <v>45380</v>
          </cell>
          <cell r="J1702" t="str">
            <v>Beverages</v>
          </cell>
          <cell r="O1702">
            <v>9.4499999999999993</v>
          </cell>
        </row>
        <row r="1703">
          <cell r="B1703">
            <v>45344</v>
          </cell>
          <cell r="J1703" t="str">
            <v>Clothing</v>
          </cell>
          <cell r="O1703">
            <v>290.7</v>
          </cell>
        </row>
        <row r="1704">
          <cell r="B1704">
            <v>45541</v>
          </cell>
          <cell r="J1704" t="str">
            <v>Beverages</v>
          </cell>
          <cell r="O1704">
            <v>10.5</v>
          </cell>
        </row>
        <row r="1705">
          <cell r="B1705">
            <v>45610</v>
          </cell>
          <cell r="J1705" t="str">
            <v>Clothing</v>
          </cell>
          <cell r="O1705">
            <v>68.400000000000006</v>
          </cell>
        </row>
        <row r="1706">
          <cell r="B1706">
            <v>45615</v>
          </cell>
          <cell r="J1706" t="str">
            <v>Handicrafts</v>
          </cell>
          <cell r="O1706">
            <v>36</v>
          </cell>
        </row>
        <row r="1707">
          <cell r="B1707">
            <v>45592</v>
          </cell>
          <cell r="J1707" t="str">
            <v>Dairy</v>
          </cell>
          <cell r="O1707">
            <v>49</v>
          </cell>
        </row>
        <row r="1708">
          <cell r="B1708">
            <v>45495</v>
          </cell>
          <cell r="J1708" t="str">
            <v>Dairy</v>
          </cell>
          <cell r="O1708">
            <v>3.5</v>
          </cell>
        </row>
        <row r="1709">
          <cell r="B1709">
            <v>45475</v>
          </cell>
          <cell r="J1709" t="str">
            <v>Groceries</v>
          </cell>
          <cell r="O1709">
            <v>9.6</v>
          </cell>
        </row>
        <row r="1710">
          <cell r="B1710">
            <v>45452</v>
          </cell>
          <cell r="J1710" t="str">
            <v>Handicrafts</v>
          </cell>
          <cell r="O1710">
            <v>48</v>
          </cell>
        </row>
        <row r="1711">
          <cell r="B1711">
            <v>45530</v>
          </cell>
          <cell r="J1711" t="str">
            <v>Handicrafts</v>
          </cell>
          <cell r="O1711">
            <v>129.19999999999999</v>
          </cell>
        </row>
        <row r="1712">
          <cell r="B1712">
            <v>45489</v>
          </cell>
          <cell r="J1712" t="str">
            <v>Groceries</v>
          </cell>
          <cell r="O1712">
            <v>19</v>
          </cell>
        </row>
        <row r="1713">
          <cell r="B1713">
            <v>45603</v>
          </cell>
          <cell r="J1713" t="str">
            <v>Traditional Food</v>
          </cell>
          <cell r="O1713">
            <v>7.14</v>
          </cell>
        </row>
        <row r="1714">
          <cell r="B1714">
            <v>45455</v>
          </cell>
          <cell r="J1714" t="str">
            <v>Groceries</v>
          </cell>
          <cell r="O1714">
            <v>8.4</v>
          </cell>
        </row>
        <row r="1715">
          <cell r="B1715">
            <v>45432</v>
          </cell>
          <cell r="J1715" t="str">
            <v>Dairy</v>
          </cell>
          <cell r="O1715">
            <v>21</v>
          </cell>
        </row>
        <row r="1716">
          <cell r="B1716">
            <v>45413</v>
          </cell>
          <cell r="J1716" t="str">
            <v>Handicrafts</v>
          </cell>
          <cell r="O1716">
            <v>152</v>
          </cell>
        </row>
        <row r="1717">
          <cell r="B1717">
            <v>45437</v>
          </cell>
          <cell r="J1717" t="str">
            <v>Traditional Food</v>
          </cell>
          <cell r="O1717">
            <v>2.1</v>
          </cell>
        </row>
        <row r="1718">
          <cell r="B1718">
            <v>45464</v>
          </cell>
          <cell r="J1718" t="str">
            <v>Groceries</v>
          </cell>
          <cell r="O1718">
            <v>2</v>
          </cell>
        </row>
        <row r="1719">
          <cell r="B1719">
            <v>45432</v>
          </cell>
          <cell r="J1719" t="str">
            <v>Groceries</v>
          </cell>
          <cell r="O1719">
            <v>11.22</v>
          </cell>
        </row>
        <row r="1720">
          <cell r="B1720">
            <v>45544</v>
          </cell>
          <cell r="J1720" t="str">
            <v>Groceries</v>
          </cell>
          <cell r="O1720">
            <v>40</v>
          </cell>
        </row>
        <row r="1721">
          <cell r="B1721">
            <v>45620</v>
          </cell>
          <cell r="J1721" t="str">
            <v>Groceries</v>
          </cell>
          <cell r="O1721">
            <v>3.08</v>
          </cell>
        </row>
        <row r="1722">
          <cell r="B1722">
            <v>45406</v>
          </cell>
          <cell r="J1722" t="str">
            <v>Traditional Food</v>
          </cell>
          <cell r="O1722">
            <v>4.24</v>
          </cell>
        </row>
        <row r="1723">
          <cell r="B1723">
            <v>45407</v>
          </cell>
          <cell r="J1723" t="str">
            <v>Handicrafts</v>
          </cell>
          <cell r="O1723">
            <v>48</v>
          </cell>
        </row>
        <row r="1724">
          <cell r="B1724">
            <v>45644</v>
          </cell>
          <cell r="J1724" t="str">
            <v>Handicrafts</v>
          </cell>
          <cell r="O1724">
            <v>24</v>
          </cell>
        </row>
        <row r="1725">
          <cell r="B1725">
            <v>45447</v>
          </cell>
          <cell r="J1725" t="str">
            <v>Traditional Food</v>
          </cell>
          <cell r="O1725">
            <v>7.5</v>
          </cell>
        </row>
        <row r="1726">
          <cell r="B1726">
            <v>45649</v>
          </cell>
          <cell r="J1726" t="str">
            <v>Groceries</v>
          </cell>
          <cell r="O1726">
            <v>16.8</v>
          </cell>
        </row>
        <row r="1727">
          <cell r="B1727">
            <v>45367</v>
          </cell>
          <cell r="J1727" t="str">
            <v>Beverages</v>
          </cell>
          <cell r="O1727">
            <v>16.149999999999999</v>
          </cell>
        </row>
        <row r="1728">
          <cell r="B1728">
            <v>45559</v>
          </cell>
          <cell r="J1728" t="str">
            <v>Groceries</v>
          </cell>
          <cell r="O1728">
            <v>15.3</v>
          </cell>
        </row>
        <row r="1729">
          <cell r="B1729">
            <v>45456</v>
          </cell>
          <cell r="J1729" t="str">
            <v>Dairy</v>
          </cell>
          <cell r="O1729">
            <v>24</v>
          </cell>
        </row>
        <row r="1730">
          <cell r="B1730">
            <v>45472</v>
          </cell>
          <cell r="J1730" t="str">
            <v>Handicrafts</v>
          </cell>
          <cell r="O1730">
            <v>535.5</v>
          </cell>
        </row>
        <row r="1731">
          <cell r="B1731">
            <v>45330</v>
          </cell>
          <cell r="J1731" t="str">
            <v>Beverages</v>
          </cell>
          <cell r="O1731">
            <v>24</v>
          </cell>
        </row>
        <row r="1732">
          <cell r="B1732">
            <v>45489</v>
          </cell>
          <cell r="J1732" t="str">
            <v>Beverages</v>
          </cell>
          <cell r="O1732">
            <v>10.5</v>
          </cell>
        </row>
        <row r="1733">
          <cell r="B1733">
            <v>45451</v>
          </cell>
          <cell r="J1733" t="str">
            <v>Dairy</v>
          </cell>
          <cell r="O1733">
            <v>47.25</v>
          </cell>
        </row>
        <row r="1734">
          <cell r="B1734">
            <v>45404</v>
          </cell>
          <cell r="J1734" t="str">
            <v>Traditional Food</v>
          </cell>
          <cell r="O1734">
            <v>30</v>
          </cell>
        </row>
        <row r="1735">
          <cell r="B1735">
            <v>45496</v>
          </cell>
          <cell r="J1735" t="str">
            <v>Dairy</v>
          </cell>
          <cell r="O1735">
            <v>24.5</v>
          </cell>
        </row>
        <row r="1736">
          <cell r="B1736">
            <v>45367</v>
          </cell>
          <cell r="J1736" t="str">
            <v>Handicrafts</v>
          </cell>
          <cell r="O1736">
            <v>525</v>
          </cell>
        </row>
        <row r="1737">
          <cell r="B1737">
            <v>45387</v>
          </cell>
          <cell r="J1737" t="str">
            <v>Traditional Food</v>
          </cell>
          <cell r="O1737">
            <v>4.5</v>
          </cell>
        </row>
        <row r="1738">
          <cell r="B1738">
            <v>45427</v>
          </cell>
          <cell r="J1738" t="str">
            <v>Groceries</v>
          </cell>
          <cell r="O1738">
            <v>3.4</v>
          </cell>
        </row>
        <row r="1739">
          <cell r="B1739">
            <v>45495</v>
          </cell>
          <cell r="J1739" t="str">
            <v>Beverages</v>
          </cell>
          <cell r="O1739">
            <v>25.5</v>
          </cell>
        </row>
        <row r="1740">
          <cell r="B1740">
            <v>45481</v>
          </cell>
          <cell r="J1740" t="str">
            <v>Groceries</v>
          </cell>
          <cell r="O1740">
            <v>3.6</v>
          </cell>
        </row>
        <row r="1741">
          <cell r="B1741">
            <v>45442</v>
          </cell>
          <cell r="J1741" t="str">
            <v>Groceries</v>
          </cell>
          <cell r="O1741">
            <v>8.4</v>
          </cell>
        </row>
        <row r="1742">
          <cell r="B1742">
            <v>45557</v>
          </cell>
          <cell r="J1742" t="str">
            <v>Dairy</v>
          </cell>
          <cell r="O1742">
            <v>49</v>
          </cell>
        </row>
        <row r="1743">
          <cell r="B1743">
            <v>45404</v>
          </cell>
          <cell r="J1743" t="str">
            <v>Beverages</v>
          </cell>
          <cell r="O1743">
            <v>3</v>
          </cell>
        </row>
        <row r="1744">
          <cell r="B1744">
            <v>45325</v>
          </cell>
          <cell r="J1744" t="str">
            <v>Clothing</v>
          </cell>
          <cell r="O1744">
            <v>324</v>
          </cell>
        </row>
        <row r="1745">
          <cell r="B1745">
            <v>45493</v>
          </cell>
          <cell r="J1745" t="str">
            <v>Groceries</v>
          </cell>
          <cell r="O1745">
            <v>11.2</v>
          </cell>
        </row>
        <row r="1746">
          <cell r="B1746">
            <v>45397</v>
          </cell>
          <cell r="J1746" t="str">
            <v>Clothing</v>
          </cell>
          <cell r="O1746">
            <v>91.8</v>
          </cell>
        </row>
        <row r="1747">
          <cell r="B1747">
            <v>45293</v>
          </cell>
          <cell r="J1747" t="str">
            <v>Handicrafts</v>
          </cell>
          <cell r="O1747">
            <v>140</v>
          </cell>
        </row>
        <row r="1748">
          <cell r="B1748">
            <v>45644</v>
          </cell>
          <cell r="J1748" t="str">
            <v>Dairy</v>
          </cell>
          <cell r="O1748">
            <v>12</v>
          </cell>
        </row>
        <row r="1749">
          <cell r="B1749">
            <v>45462</v>
          </cell>
          <cell r="J1749" t="str">
            <v>Beverages</v>
          </cell>
          <cell r="O1749">
            <v>11.25</v>
          </cell>
        </row>
        <row r="1750">
          <cell r="B1750">
            <v>45463</v>
          </cell>
          <cell r="J1750" t="str">
            <v>Dairy</v>
          </cell>
          <cell r="O1750">
            <v>1.5</v>
          </cell>
        </row>
        <row r="1751">
          <cell r="B1751">
            <v>45639</v>
          </cell>
          <cell r="J1751" t="str">
            <v>Traditional Food</v>
          </cell>
          <cell r="O1751">
            <v>0.95</v>
          </cell>
        </row>
        <row r="1752">
          <cell r="B1752">
            <v>45418</v>
          </cell>
          <cell r="J1752" t="str">
            <v>Traditional Food</v>
          </cell>
          <cell r="O1752">
            <v>8</v>
          </cell>
        </row>
        <row r="1753">
          <cell r="B1753">
            <v>45560</v>
          </cell>
          <cell r="J1753" t="str">
            <v>Handicrafts</v>
          </cell>
          <cell r="O1753">
            <v>595</v>
          </cell>
        </row>
        <row r="1754">
          <cell r="B1754">
            <v>45447</v>
          </cell>
          <cell r="J1754" t="str">
            <v>Traditional Food</v>
          </cell>
          <cell r="O1754">
            <v>27.5</v>
          </cell>
        </row>
        <row r="1755">
          <cell r="B1755">
            <v>45631</v>
          </cell>
          <cell r="J1755" t="str">
            <v>Groceries</v>
          </cell>
          <cell r="O1755">
            <v>32</v>
          </cell>
        </row>
        <row r="1756">
          <cell r="B1756">
            <v>45655</v>
          </cell>
          <cell r="J1756" t="str">
            <v>Handicrafts</v>
          </cell>
          <cell r="O1756">
            <v>125.4</v>
          </cell>
        </row>
        <row r="1757">
          <cell r="B1757">
            <v>45430</v>
          </cell>
          <cell r="J1757" t="str">
            <v>Dairy</v>
          </cell>
          <cell r="O1757">
            <v>22.95</v>
          </cell>
        </row>
        <row r="1758">
          <cell r="B1758">
            <v>45629</v>
          </cell>
          <cell r="J1758" t="str">
            <v>Groceries</v>
          </cell>
          <cell r="O1758">
            <v>6</v>
          </cell>
        </row>
        <row r="1759">
          <cell r="B1759">
            <v>45397</v>
          </cell>
          <cell r="J1759" t="str">
            <v>Groceries</v>
          </cell>
          <cell r="O1759">
            <v>3.6</v>
          </cell>
        </row>
        <row r="1760">
          <cell r="B1760">
            <v>45612</v>
          </cell>
          <cell r="J1760" t="str">
            <v>Traditional Food</v>
          </cell>
          <cell r="O1760">
            <v>45</v>
          </cell>
        </row>
        <row r="1761">
          <cell r="B1761">
            <v>45427</v>
          </cell>
          <cell r="J1761" t="str">
            <v>Dairy</v>
          </cell>
          <cell r="O1761">
            <v>42</v>
          </cell>
        </row>
        <row r="1762">
          <cell r="B1762">
            <v>45389</v>
          </cell>
          <cell r="J1762" t="str">
            <v>Clothing</v>
          </cell>
          <cell r="O1762">
            <v>34.200000000000003</v>
          </cell>
        </row>
        <row r="1763">
          <cell r="B1763">
            <v>45524</v>
          </cell>
          <cell r="J1763" t="str">
            <v>Traditional Food</v>
          </cell>
          <cell r="O1763">
            <v>40.28</v>
          </cell>
        </row>
        <row r="1764">
          <cell r="B1764">
            <v>45547</v>
          </cell>
          <cell r="J1764" t="str">
            <v>Traditional Food</v>
          </cell>
          <cell r="O1764">
            <v>12.5</v>
          </cell>
        </row>
        <row r="1765">
          <cell r="B1765">
            <v>45447</v>
          </cell>
          <cell r="J1765" t="str">
            <v>Handicrafts</v>
          </cell>
          <cell r="O1765">
            <v>560</v>
          </cell>
        </row>
        <row r="1766">
          <cell r="B1766">
            <v>45312</v>
          </cell>
          <cell r="J1766" t="str">
            <v>Traditional Food</v>
          </cell>
          <cell r="O1766">
            <v>3.5</v>
          </cell>
        </row>
        <row r="1767">
          <cell r="B1767">
            <v>45448</v>
          </cell>
          <cell r="J1767" t="str">
            <v>Traditional Food</v>
          </cell>
          <cell r="O1767">
            <v>0.5</v>
          </cell>
        </row>
        <row r="1768">
          <cell r="B1768">
            <v>45420</v>
          </cell>
          <cell r="J1768" t="str">
            <v>Traditional Food</v>
          </cell>
          <cell r="O1768">
            <v>2.5</v>
          </cell>
        </row>
        <row r="1769">
          <cell r="B1769">
            <v>45336</v>
          </cell>
          <cell r="J1769" t="str">
            <v>Dairy</v>
          </cell>
          <cell r="O1769">
            <v>31.5</v>
          </cell>
        </row>
        <row r="1770">
          <cell r="B1770">
            <v>45440</v>
          </cell>
          <cell r="J1770" t="str">
            <v>Groceries</v>
          </cell>
          <cell r="O1770">
            <v>9.6</v>
          </cell>
        </row>
        <row r="1771">
          <cell r="B1771">
            <v>45508</v>
          </cell>
          <cell r="J1771" t="str">
            <v>Beverages</v>
          </cell>
          <cell r="O1771">
            <v>9.75</v>
          </cell>
        </row>
        <row r="1772">
          <cell r="B1772">
            <v>45380</v>
          </cell>
          <cell r="J1772" t="str">
            <v>Handicrafts</v>
          </cell>
          <cell r="O1772">
            <v>665</v>
          </cell>
        </row>
        <row r="1773">
          <cell r="B1773">
            <v>45420</v>
          </cell>
          <cell r="J1773" t="str">
            <v>Beverages</v>
          </cell>
          <cell r="O1773">
            <v>5</v>
          </cell>
        </row>
        <row r="1774">
          <cell r="B1774">
            <v>45444</v>
          </cell>
          <cell r="J1774" t="str">
            <v>Handicrafts</v>
          </cell>
          <cell r="O1774">
            <v>598.5</v>
          </cell>
        </row>
        <row r="1775">
          <cell r="B1775">
            <v>45341</v>
          </cell>
          <cell r="J1775" t="str">
            <v>Groceries</v>
          </cell>
          <cell r="O1775">
            <v>13.3</v>
          </cell>
        </row>
        <row r="1776">
          <cell r="B1776">
            <v>45531</v>
          </cell>
          <cell r="J1776" t="str">
            <v>Dairy</v>
          </cell>
          <cell r="O1776">
            <v>42</v>
          </cell>
        </row>
        <row r="1777">
          <cell r="B1777">
            <v>45306</v>
          </cell>
          <cell r="J1777" t="str">
            <v>Groceries</v>
          </cell>
          <cell r="O1777">
            <v>21.6</v>
          </cell>
        </row>
        <row r="1778">
          <cell r="B1778">
            <v>45606</v>
          </cell>
          <cell r="J1778" t="str">
            <v>Traditional Food</v>
          </cell>
          <cell r="O1778">
            <v>8.5</v>
          </cell>
        </row>
        <row r="1779">
          <cell r="B1779">
            <v>45609</v>
          </cell>
          <cell r="J1779" t="str">
            <v>Handicrafts</v>
          </cell>
          <cell r="O1779">
            <v>205.2</v>
          </cell>
        </row>
        <row r="1780">
          <cell r="B1780">
            <v>45498</v>
          </cell>
          <cell r="J1780" t="str">
            <v>Groceries</v>
          </cell>
          <cell r="O1780">
            <v>2.8</v>
          </cell>
        </row>
        <row r="1781">
          <cell r="B1781">
            <v>45319</v>
          </cell>
          <cell r="J1781" t="str">
            <v>Dairy</v>
          </cell>
          <cell r="O1781">
            <v>10.5</v>
          </cell>
        </row>
        <row r="1782">
          <cell r="B1782">
            <v>45596</v>
          </cell>
          <cell r="J1782" t="str">
            <v>Traditional Food</v>
          </cell>
          <cell r="O1782">
            <v>8.48</v>
          </cell>
        </row>
        <row r="1783">
          <cell r="B1783">
            <v>45354</v>
          </cell>
          <cell r="J1783" t="str">
            <v>Handicrafts</v>
          </cell>
          <cell r="O1783">
            <v>136.80000000000001</v>
          </cell>
        </row>
        <row r="1784">
          <cell r="B1784">
            <v>45556</v>
          </cell>
          <cell r="J1784" t="str">
            <v>Traditional Food</v>
          </cell>
          <cell r="O1784">
            <v>2.35</v>
          </cell>
        </row>
        <row r="1785">
          <cell r="B1785">
            <v>45637</v>
          </cell>
          <cell r="J1785" t="str">
            <v>Beverages</v>
          </cell>
          <cell r="O1785">
            <v>5</v>
          </cell>
        </row>
        <row r="1786">
          <cell r="B1786">
            <v>45611</v>
          </cell>
          <cell r="J1786" t="str">
            <v>Traditional Food</v>
          </cell>
          <cell r="O1786">
            <v>3.5</v>
          </cell>
        </row>
        <row r="1787">
          <cell r="B1787">
            <v>45418</v>
          </cell>
          <cell r="J1787" t="str">
            <v>Traditional Food</v>
          </cell>
          <cell r="O1787">
            <v>17.5</v>
          </cell>
        </row>
        <row r="1788">
          <cell r="B1788">
            <v>45492</v>
          </cell>
          <cell r="J1788" t="str">
            <v>Dairy</v>
          </cell>
          <cell r="O1788">
            <v>7</v>
          </cell>
        </row>
        <row r="1789">
          <cell r="B1789">
            <v>45571</v>
          </cell>
          <cell r="J1789" t="str">
            <v>Beverages</v>
          </cell>
          <cell r="O1789">
            <v>5.76</v>
          </cell>
        </row>
        <row r="1790">
          <cell r="B1790">
            <v>45366</v>
          </cell>
          <cell r="J1790" t="str">
            <v>Traditional Food</v>
          </cell>
          <cell r="O1790">
            <v>2.5</v>
          </cell>
        </row>
        <row r="1791">
          <cell r="B1791">
            <v>45553</v>
          </cell>
          <cell r="J1791" t="str">
            <v>Beverages</v>
          </cell>
          <cell r="O1791">
            <v>13.5</v>
          </cell>
        </row>
        <row r="1792">
          <cell r="B1792">
            <v>45593</v>
          </cell>
          <cell r="J1792" t="str">
            <v>Handicrafts</v>
          </cell>
          <cell r="O1792">
            <v>560</v>
          </cell>
        </row>
        <row r="1793">
          <cell r="B1793">
            <v>45529</v>
          </cell>
          <cell r="J1793" t="str">
            <v>Groceries</v>
          </cell>
          <cell r="O1793">
            <v>33.32</v>
          </cell>
        </row>
        <row r="1794">
          <cell r="B1794">
            <v>45353</v>
          </cell>
          <cell r="J1794" t="str">
            <v>Handicrafts</v>
          </cell>
          <cell r="O1794">
            <v>665</v>
          </cell>
        </row>
        <row r="1795">
          <cell r="B1795">
            <v>45313</v>
          </cell>
          <cell r="J1795" t="str">
            <v>Traditional Food</v>
          </cell>
          <cell r="O1795">
            <v>6</v>
          </cell>
        </row>
        <row r="1796">
          <cell r="B1796">
            <v>45296</v>
          </cell>
          <cell r="J1796" t="str">
            <v>Groceries</v>
          </cell>
          <cell r="O1796">
            <v>5.4</v>
          </cell>
        </row>
        <row r="1797">
          <cell r="B1797">
            <v>45470</v>
          </cell>
          <cell r="J1797" t="str">
            <v>Dairy</v>
          </cell>
          <cell r="O1797">
            <v>59.5</v>
          </cell>
        </row>
        <row r="1798">
          <cell r="B1798">
            <v>45627</v>
          </cell>
          <cell r="J1798" t="str">
            <v>Beverages</v>
          </cell>
          <cell r="O1798">
            <v>19</v>
          </cell>
        </row>
        <row r="1799">
          <cell r="B1799">
            <v>45629</v>
          </cell>
          <cell r="J1799" t="str">
            <v>Beverages</v>
          </cell>
          <cell r="O1799">
            <v>10</v>
          </cell>
        </row>
        <row r="1800">
          <cell r="B1800">
            <v>45533</v>
          </cell>
          <cell r="J1800" t="str">
            <v>Dairy</v>
          </cell>
          <cell r="O1800">
            <v>27</v>
          </cell>
        </row>
        <row r="1801">
          <cell r="B1801">
            <v>45358</v>
          </cell>
          <cell r="J1801" t="str">
            <v>Dairy</v>
          </cell>
          <cell r="O1801">
            <v>36.520000000000003</v>
          </cell>
        </row>
        <row r="1802">
          <cell r="B1802">
            <v>45315</v>
          </cell>
          <cell r="J1802" t="str">
            <v>Groceries</v>
          </cell>
          <cell r="O1802">
            <v>2.38</v>
          </cell>
        </row>
        <row r="1803">
          <cell r="B1803">
            <v>45547</v>
          </cell>
          <cell r="J1803" t="str">
            <v>Traditional Food</v>
          </cell>
          <cell r="O1803">
            <v>40</v>
          </cell>
        </row>
        <row r="1804">
          <cell r="B1804">
            <v>45381</v>
          </cell>
          <cell r="J1804" t="str">
            <v>Beverages</v>
          </cell>
          <cell r="O1804">
            <v>8.32</v>
          </cell>
        </row>
        <row r="1805">
          <cell r="B1805">
            <v>45605</v>
          </cell>
          <cell r="J1805" t="str">
            <v>Traditional Food</v>
          </cell>
          <cell r="O1805">
            <v>9</v>
          </cell>
        </row>
        <row r="1806">
          <cell r="B1806">
            <v>45483</v>
          </cell>
          <cell r="J1806" t="str">
            <v>Traditional Food</v>
          </cell>
          <cell r="O1806">
            <v>18</v>
          </cell>
        </row>
        <row r="1807">
          <cell r="B1807">
            <v>45347</v>
          </cell>
          <cell r="J1807" t="str">
            <v>Beverages</v>
          </cell>
          <cell r="O1807">
            <v>11.25</v>
          </cell>
        </row>
        <row r="1808">
          <cell r="B1808">
            <v>45392</v>
          </cell>
          <cell r="J1808" t="str">
            <v>Groceries</v>
          </cell>
          <cell r="O1808">
            <v>18</v>
          </cell>
        </row>
        <row r="1809">
          <cell r="B1809">
            <v>45374</v>
          </cell>
          <cell r="J1809" t="str">
            <v>Beverages</v>
          </cell>
          <cell r="O1809">
            <v>8.9600000000000009</v>
          </cell>
        </row>
        <row r="1810">
          <cell r="B1810">
            <v>45590</v>
          </cell>
          <cell r="J1810" t="str">
            <v>Beverages</v>
          </cell>
          <cell r="O1810">
            <v>1.35</v>
          </cell>
        </row>
        <row r="1811">
          <cell r="B1811">
            <v>45363</v>
          </cell>
          <cell r="J1811" t="str">
            <v>Beverages</v>
          </cell>
          <cell r="O1811">
            <v>1.5</v>
          </cell>
        </row>
        <row r="1812">
          <cell r="B1812">
            <v>45466</v>
          </cell>
          <cell r="J1812" t="str">
            <v>Groceries</v>
          </cell>
          <cell r="O1812">
            <v>10.8</v>
          </cell>
        </row>
        <row r="1813">
          <cell r="B1813">
            <v>45389</v>
          </cell>
          <cell r="J1813" t="str">
            <v>Dairy</v>
          </cell>
          <cell r="O1813">
            <v>23.24</v>
          </cell>
        </row>
        <row r="1814">
          <cell r="B1814">
            <v>45608</v>
          </cell>
          <cell r="J1814" t="str">
            <v>Handicrafts</v>
          </cell>
          <cell r="O1814">
            <v>183.6</v>
          </cell>
        </row>
        <row r="1815">
          <cell r="B1815">
            <v>45612</v>
          </cell>
          <cell r="J1815" t="str">
            <v>Groceries</v>
          </cell>
          <cell r="O1815">
            <v>10.01</v>
          </cell>
        </row>
        <row r="1816">
          <cell r="B1816">
            <v>45343</v>
          </cell>
          <cell r="J1816" t="str">
            <v>Beverages</v>
          </cell>
          <cell r="O1816">
            <v>4</v>
          </cell>
        </row>
        <row r="1817">
          <cell r="B1817">
            <v>45303</v>
          </cell>
          <cell r="J1817" t="str">
            <v>Groceries</v>
          </cell>
          <cell r="O1817">
            <v>13.6</v>
          </cell>
        </row>
        <row r="1818">
          <cell r="B1818">
            <v>45652</v>
          </cell>
          <cell r="J1818" t="str">
            <v>Clothing</v>
          </cell>
          <cell r="O1818">
            <v>216</v>
          </cell>
        </row>
        <row r="1819">
          <cell r="B1819">
            <v>45565</v>
          </cell>
          <cell r="J1819" t="str">
            <v>Handicrafts</v>
          </cell>
          <cell r="O1819">
            <v>665</v>
          </cell>
        </row>
        <row r="1820">
          <cell r="B1820">
            <v>45496</v>
          </cell>
          <cell r="J1820" t="str">
            <v>Dairy</v>
          </cell>
          <cell r="O1820">
            <v>70</v>
          </cell>
        </row>
        <row r="1821">
          <cell r="B1821">
            <v>45426</v>
          </cell>
          <cell r="J1821" t="str">
            <v>Traditional Food</v>
          </cell>
          <cell r="O1821">
            <v>2.5</v>
          </cell>
        </row>
        <row r="1822">
          <cell r="B1822">
            <v>45322</v>
          </cell>
          <cell r="J1822" t="str">
            <v>Beverages</v>
          </cell>
          <cell r="O1822">
            <v>7.5</v>
          </cell>
        </row>
        <row r="1823">
          <cell r="B1823">
            <v>45412</v>
          </cell>
          <cell r="J1823" t="str">
            <v>Handicrafts</v>
          </cell>
          <cell r="O1823">
            <v>128</v>
          </cell>
        </row>
        <row r="1824">
          <cell r="B1824">
            <v>45328</v>
          </cell>
          <cell r="J1824" t="str">
            <v>Traditional Food</v>
          </cell>
          <cell r="O1824">
            <v>6.58</v>
          </cell>
        </row>
        <row r="1825">
          <cell r="B1825">
            <v>45358</v>
          </cell>
          <cell r="J1825" t="str">
            <v>Traditional Food</v>
          </cell>
          <cell r="O1825">
            <v>8.1</v>
          </cell>
        </row>
        <row r="1826">
          <cell r="B1826">
            <v>45624</v>
          </cell>
          <cell r="J1826" t="str">
            <v>Dairy</v>
          </cell>
          <cell r="O1826">
            <v>18</v>
          </cell>
        </row>
        <row r="1827">
          <cell r="B1827">
            <v>45320</v>
          </cell>
          <cell r="J1827" t="str">
            <v>Beverages</v>
          </cell>
          <cell r="O1827">
            <v>0.64</v>
          </cell>
        </row>
        <row r="1828">
          <cell r="B1828">
            <v>45641</v>
          </cell>
          <cell r="J1828" t="str">
            <v>Groceries</v>
          </cell>
          <cell r="O1828">
            <v>1.9</v>
          </cell>
        </row>
        <row r="1829">
          <cell r="B1829">
            <v>45512</v>
          </cell>
          <cell r="J1829" t="str">
            <v>Groceries</v>
          </cell>
          <cell r="O1829">
            <v>37.24</v>
          </cell>
        </row>
        <row r="1830">
          <cell r="B1830">
            <v>45472</v>
          </cell>
          <cell r="J1830" t="str">
            <v>Traditional Food</v>
          </cell>
          <cell r="O1830">
            <v>17.5</v>
          </cell>
        </row>
        <row r="1831">
          <cell r="B1831">
            <v>45339</v>
          </cell>
          <cell r="J1831" t="str">
            <v>Beverages</v>
          </cell>
          <cell r="O1831">
            <v>14.25</v>
          </cell>
        </row>
        <row r="1832">
          <cell r="B1832">
            <v>45299</v>
          </cell>
          <cell r="J1832" t="str">
            <v>Groceries</v>
          </cell>
          <cell r="O1832">
            <v>13.6</v>
          </cell>
        </row>
        <row r="1833">
          <cell r="B1833">
            <v>45384</v>
          </cell>
          <cell r="J1833" t="str">
            <v>Beverages</v>
          </cell>
          <cell r="O1833">
            <v>10</v>
          </cell>
        </row>
        <row r="1834">
          <cell r="B1834">
            <v>45358</v>
          </cell>
          <cell r="J1834" t="str">
            <v>Beverages</v>
          </cell>
          <cell r="O1834">
            <v>15</v>
          </cell>
        </row>
        <row r="1835">
          <cell r="B1835">
            <v>45420</v>
          </cell>
          <cell r="J1835" t="str">
            <v>Traditional Food</v>
          </cell>
          <cell r="O1835">
            <v>18</v>
          </cell>
        </row>
        <row r="1836">
          <cell r="B1836">
            <v>45519</v>
          </cell>
          <cell r="J1836" t="str">
            <v>Handicrafts</v>
          </cell>
          <cell r="O1836">
            <v>120</v>
          </cell>
        </row>
        <row r="1837">
          <cell r="B1837">
            <v>45455</v>
          </cell>
          <cell r="J1837" t="str">
            <v>Beverages</v>
          </cell>
          <cell r="O1837">
            <v>12.78</v>
          </cell>
        </row>
        <row r="1838">
          <cell r="B1838">
            <v>45435</v>
          </cell>
          <cell r="J1838" t="str">
            <v>Groceries</v>
          </cell>
          <cell r="O1838">
            <v>3.6</v>
          </cell>
        </row>
        <row r="1839">
          <cell r="B1839">
            <v>45448</v>
          </cell>
          <cell r="J1839" t="str">
            <v>Dairy</v>
          </cell>
          <cell r="O1839">
            <v>63</v>
          </cell>
        </row>
        <row r="1840">
          <cell r="B1840">
            <v>45412</v>
          </cell>
          <cell r="J1840" t="str">
            <v>Beverages</v>
          </cell>
          <cell r="O1840">
            <v>13.5</v>
          </cell>
        </row>
        <row r="1841">
          <cell r="B1841">
            <v>45547</v>
          </cell>
          <cell r="J1841" t="str">
            <v>Traditional Food</v>
          </cell>
          <cell r="O1841">
            <v>5</v>
          </cell>
        </row>
        <row r="1842">
          <cell r="B1842">
            <v>45322</v>
          </cell>
          <cell r="J1842" t="str">
            <v>Handicrafts</v>
          </cell>
          <cell r="O1842">
            <v>267.75</v>
          </cell>
        </row>
        <row r="1843">
          <cell r="B1843">
            <v>45488</v>
          </cell>
          <cell r="J1843" t="str">
            <v>Traditional Food</v>
          </cell>
          <cell r="O1843">
            <v>7.5</v>
          </cell>
        </row>
        <row r="1844">
          <cell r="B1844">
            <v>45564</v>
          </cell>
          <cell r="J1844" t="str">
            <v>Beverages</v>
          </cell>
          <cell r="O1844">
            <v>1.36</v>
          </cell>
        </row>
        <row r="1845">
          <cell r="B1845">
            <v>45603</v>
          </cell>
          <cell r="J1845" t="str">
            <v>Handicrafts</v>
          </cell>
          <cell r="O1845">
            <v>112.2</v>
          </cell>
        </row>
        <row r="1846">
          <cell r="B1846">
            <v>45466</v>
          </cell>
          <cell r="J1846" t="str">
            <v>Beverages</v>
          </cell>
          <cell r="O1846">
            <v>30</v>
          </cell>
        </row>
        <row r="1847">
          <cell r="B1847">
            <v>45575</v>
          </cell>
          <cell r="J1847" t="str">
            <v>Traditional Food</v>
          </cell>
          <cell r="O1847">
            <v>5.85</v>
          </cell>
        </row>
        <row r="1848">
          <cell r="B1848">
            <v>45509</v>
          </cell>
          <cell r="J1848" t="str">
            <v>Groceries</v>
          </cell>
          <cell r="O1848">
            <v>34.200000000000003</v>
          </cell>
        </row>
        <row r="1849">
          <cell r="B1849">
            <v>45487</v>
          </cell>
          <cell r="J1849" t="str">
            <v>Clothing</v>
          </cell>
          <cell r="O1849">
            <v>243</v>
          </cell>
        </row>
        <row r="1850">
          <cell r="B1850">
            <v>45435</v>
          </cell>
          <cell r="J1850" t="str">
            <v>Beverages</v>
          </cell>
          <cell r="O1850">
            <v>9</v>
          </cell>
        </row>
        <row r="1851">
          <cell r="B1851">
            <v>45464</v>
          </cell>
          <cell r="J1851" t="str">
            <v>Groceries</v>
          </cell>
          <cell r="O1851">
            <v>38</v>
          </cell>
        </row>
        <row r="1852">
          <cell r="B1852">
            <v>45629</v>
          </cell>
          <cell r="J1852" t="str">
            <v>Handicrafts</v>
          </cell>
          <cell r="O1852">
            <v>91.8</v>
          </cell>
        </row>
        <row r="1853">
          <cell r="B1853">
            <v>45449</v>
          </cell>
          <cell r="J1853" t="str">
            <v>Traditional Food</v>
          </cell>
          <cell r="O1853">
            <v>8.5500000000000007</v>
          </cell>
        </row>
        <row r="1854">
          <cell r="B1854">
            <v>45528</v>
          </cell>
          <cell r="J1854" t="str">
            <v>Beverages</v>
          </cell>
          <cell r="O1854">
            <v>0.75</v>
          </cell>
        </row>
        <row r="1855">
          <cell r="B1855">
            <v>45618</v>
          </cell>
          <cell r="J1855" t="str">
            <v>Handicrafts</v>
          </cell>
          <cell r="O1855">
            <v>216</v>
          </cell>
        </row>
        <row r="1856">
          <cell r="B1856">
            <v>45604</v>
          </cell>
          <cell r="J1856" t="str">
            <v>Traditional Food</v>
          </cell>
          <cell r="O1856">
            <v>18</v>
          </cell>
        </row>
        <row r="1857">
          <cell r="B1857">
            <v>45433</v>
          </cell>
          <cell r="J1857" t="str">
            <v>Beverages</v>
          </cell>
          <cell r="O1857">
            <v>5.76</v>
          </cell>
        </row>
        <row r="1858">
          <cell r="B1858">
            <v>45608</v>
          </cell>
          <cell r="J1858" t="str">
            <v>Beverages</v>
          </cell>
          <cell r="O1858">
            <v>1.5</v>
          </cell>
        </row>
        <row r="1859">
          <cell r="B1859">
            <v>45588</v>
          </cell>
          <cell r="J1859" t="str">
            <v>Beverages</v>
          </cell>
          <cell r="O1859">
            <v>8.25</v>
          </cell>
        </row>
        <row r="1860">
          <cell r="B1860">
            <v>45423</v>
          </cell>
          <cell r="J1860" t="str">
            <v>Traditional Food</v>
          </cell>
          <cell r="O1860">
            <v>0.45</v>
          </cell>
        </row>
        <row r="1861">
          <cell r="B1861">
            <v>45599</v>
          </cell>
          <cell r="J1861" t="str">
            <v>Handicrafts</v>
          </cell>
          <cell r="O1861">
            <v>96</v>
          </cell>
        </row>
        <row r="1862">
          <cell r="B1862">
            <v>45553</v>
          </cell>
          <cell r="J1862" t="str">
            <v>Groceries</v>
          </cell>
          <cell r="O1862">
            <v>2.7</v>
          </cell>
        </row>
        <row r="1863">
          <cell r="B1863">
            <v>45328</v>
          </cell>
          <cell r="J1863" t="str">
            <v>Handicrafts</v>
          </cell>
          <cell r="O1863">
            <v>168</v>
          </cell>
        </row>
        <row r="1864">
          <cell r="B1864">
            <v>45500</v>
          </cell>
          <cell r="J1864" t="str">
            <v>Handicrafts</v>
          </cell>
          <cell r="O1864">
            <v>144</v>
          </cell>
        </row>
        <row r="1865">
          <cell r="B1865">
            <v>45480</v>
          </cell>
          <cell r="J1865" t="str">
            <v>Traditional Food</v>
          </cell>
          <cell r="O1865">
            <v>1</v>
          </cell>
        </row>
        <row r="1866">
          <cell r="B1866">
            <v>45603</v>
          </cell>
          <cell r="J1866" t="str">
            <v>Traditional Food</v>
          </cell>
          <cell r="O1866">
            <v>2.94</v>
          </cell>
        </row>
        <row r="1867">
          <cell r="B1867">
            <v>45402</v>
          </cell>
          <cell r="J1867" t="str">
            <v>Dairy</v>
          </cell>
          <cell r="O1867">
            <v>38.74</v>
          </cell>
        </row>
        <row r="1868">
          <cell r="B1868">
            <v>45624</v>
          </cell>
          <cell r="J1868" t="str">
            <v>Beverages</v>
          </cell>
          <cell r="O1868">
            <v>3</v>
          </cell>
        </row>
        <row r="1869">
          <cell r="B1869">
            <v>45567</v>
          </cell>
          <cell r="J1869" t="str">
            <v>Dairy</v>
          </cell>
          <cell r="O1869">
            <v>11.92</v>
          </cell>
        </row>
        <row r="1870">
          <cell r="B1870">
            <v>45629</v>
          </cell>
          <cell r="J1870" t="str">
            <v>Traditional Food</v>
          </cell>
          <cell r="O1870">
            <v>7.99</v>
          </cell>
        </row>
        <row r="1871">
          <cell r="B1871">
            <v>45416</v>
          </cell>
          <cell r="J1871" t="str">
            <v>Beverages</v>
          </cell>
          <cell r="O1871">
            <v>16.5</v>
          </cell>
        </row>
        <row r="1872">
          <cell r="B1872">
            <v>45453</v>
          </cell>
          <cell r="J1872" t="str">
            <v>Beverages</v>
          </cell>
          <cell r="O1872">
            <v>2.72</v>
          </cell>
        </row>
        <row r="1873">
          <cell r="B1873">
            <v>45332</v>
          </cell>
          <cell r="J1873" t="str">
            <v>Groceries</v>
          </cell>
          <cell r="O1873">
            <v>13.68</v>
          </cell>
        </row>
        <row r="1874">
          <cell r="B1874">
            <v>45601</v>
          </cell>
          <cell r="J1874" t="str">
            <v>Handicrafts</v>
          </cell>
          <cell r="O1874">
            <v>96</v>
          </cell>
        </row>
        <row r="1875">
          <cell r="B1875">
            <v>45500</v>
          </cell>
          <cell r="J1875" t="str">
            <v>Beverages</v>
          </cell>
          <cell r="O1875">
            <v>17.100000000000001</v>
          </cell>
        </row>
        <row r="1876">
          <cell r="B1876">
            <v>45452</v>
          </cell>
          <cell r="J1876" t="str">
            <v>Handicrafts</v>
          </cell>
          <cell r="O1876">
            <v>140</v>
          </cell>
        </row>
        <row r="1877">
          <cell r="B1877">
            <v>45615</v>
          </cell>
          <cell r="J1877" t="str">
            <v>Beverages</v>
          </cell>
          <cell r="O1877">
            <v>7</v>
          </cell>
        </row>
        <row r="1878">
          <cell r="B1878">
            <v>45506</v>
          </cell>
          <cell r="J1878" t="str">
            <v>Beverages</v>
          </cell>
          <cell r="O1878">
            <v>5.76</v>
          </cell>
        </row>
        <row r="1879">
          <cell r="B1879">
            <v>45356</v>
          </cell>
          <cell r="J1879" t="str">
            <v>Dairy</v>
          </cell>
          <cell r="O1879">
            <v>2.54</v>
          </cell>
        </row>
        <row r="1880">
          <cell r="B1880">
            <v>45359</v>
          </cell>
          <cell r="J1880" t="str">
            <v>Beverages</v>
          </cell>
          <cell r="O1880">
            <v>10.88</v>
          </cell>
        </row>
        <row r="1881">
          <cell r="B1881">
            <v>45357</v>
          </cell>
          <cell r="J1881" t="str">
            <v>Groceries</v>
          </cell>
          <cell r="O1881">
            <v>14.04</v>
          </cell>
        </row>
        <row r="1882">
          <cell r="B1882">
            <v>45464</v>
          </cell>
          <cell r="J1882" t="str">
            <v>Handicrafts</v>
          </cell>
          <cell r="O1882">
            <v>365.75</v>
          </cell>
        </row>
        <row r="1883">
          <cell r="B1883">
            <v>45473</v>
          </cell>
          <cell r="J1883" t="str">
            <v>Traditional Food</v>
          </cell>
          <cell r="O1883">
            <v>7.5</v>
          </cell>
        </row>
        <row r="1884">
          <cell r="B1884">
            <v>45536</v>
          </cell>
          <cell r="J1884" t="str">
            <v>Groceries</v>
          </cell>
          <cell r="O1884">
            <v>5.4</v>
          </cell>
        </row>
        <row r="1885">
          <cell r="B1885">
            <v>45369</v>
          </cell>
          <cell r="J1885" t="str">
            <v>Dairy</v>
          </cell>
          <cell r="O1885">
            <v>3.32</v>
          </cell>
        </row>
        <row r="1886">
          <cell r="B1886">
            <v>45456</v>
          </cell>
          <cell r="J1886" t="str">
            <v>Groceries</v>
          </cell>
          <cell r="O1886">
            <v>13.5</v>
          </cell>
        </row>
        <row r="1887">
          <cell r="B1887">
            <v>45410</v>
          </cell>
          <cell r="J1887" t="str">
            <v>Clothing</v>
          </cell>
          <cell r="O1887">
            <v>180</v>
          </cell>
        </row>
        <row r="1888">
          <cell r="B1888">
            <v>45438</v>
          </cell>
          <cell r="J1888" t="str">
            <v>Dairy</v>
          </cell>
          <cell r="O1888">
            <v>38.5</v>
          </cell>
        </row>
        <row r="1889">
          <cell r="B1889">
            <v>45399</v>
          </cell>
          <cell r="J1889" t="str">
            <v>Beverages</v>
          </cell>
          <cell r="O1889">
            <v>13.3</v>
          </cell>
        </row>
        <row r="1890">
          <cell r="B1890">
            <v>45469</v>
          </cell>
          <cell r="J1890" t="str">
            <v>Handicrafts</v>
          </cell>
          <cell r="O1890">
            <v>80</v>
          </cell>
        </row>
        <row r="1891">
          <cell r="B1891">
            <v>45406</v>
          </cell>
          <cell r="J1891" t="str">
            <v>Dairy</v>
          </cell>
          <cell r="O1891">
            <v>9</v>
          </cell>
        </row>
        <row r="1892">
          <cell r="B1892">
            <v>45633</v>
          </cell>
          <cell r="J1892" t="str">
            <v>Traditional Food</v>
          </cell>
          <cell r="O1892">
            <v>22.5</v>
          </cell>
        </row>
        <row r="1893">
          <cell r="B1893">
            <v>45306</v>
          </cell>
          <cell r="J1893" t="str">
            <v>Dairy</v>
          </cell>
          <cell r="O1893">
            <v>70</v>
          </cell>
        </row>
        <row r="1894">
          <cell r="B1894">
            <v>45295</v>
          </cell>
          <cell r="J1894" t="str">
            <v>Groceries</v>
          </cell>
          <cell r="O1894">
            <v>27.2</v>
          </cell>
        </row>
        <row r="1895">
          <cell r="B1895">
            <v>45584</v>
          </cell>
          <cell r="J1895" t="str">
            <v>Beverages</v>
          </cell>
          <cell r="O1895">
            <v>18.899999999999999</v>
          </cell>
        </row>
        <row r="1896">
          <cell r="B1896">
            <v>45348</v>
          </cell>
          <cell r="J1896" t="str">
            <v>Groceries</v>
          </cell>
          <cell r="O1896">
            <v>3.6</v>
          </cell>
        </row>
        <row r="1897">
          <cell r="B1897">
            <v>45362</v>
          </cell>
          <cell r="J1897" t="str">
            <v>Clothing</v>
          </cell>
          <cell r="O1897">
            <v>145.80000000000001</v>
          </cell>
        </row>
        <row r="1898">
          <cell r="B1898">
            <v>45405</v>
          </cell>
          <cell r="J1898" t="str">
            <v>Handicrafts</v>
          </cell>
          <cell r="O1898">
            <v>36</v>
          </cell>
        </row>
        <row r="1899">
          <cell r="B1899">
            <v>45614</v>
          </cell>
          <cell r="J1899" t="str">
            <v>Clothing</v>
          </cell>
          <cell r="O1899">
            <v>275.39999999999998</v>
          </cell>
        </row>
        <row r="1900">
          <cell r="B1900">
            <v>45513</v>
          </cell>
          <cell r="J1900" t="str">
            <v>Handicrafts</v>
          </cell>
          <cell r="O1900">
            <v>28.8</v>
          </cell>
        </row>
        <row r="1901">
          <cell r="B1901">
            <v>45616</v>
          </cell>
          <cell r="J1901" t="str">
            <v>Beverages</v>
          </cell>
          <cell r="O1901">
            <v>1.5</v>
          </cell>
        </row>
        <row r="1902">
          <cell r="B1902">
            <v>45427</v>
          </cell>
          <cell r="J1902" t="str">
            <v>Beverages</v>
          </cell>
          <cell r="O1902">
            <v>12</v>
          </cell>
        </row>
        <row r="1903">
          <cell r="B1903">
            <v>45359</v>
          </cell>
          <cell r="J1903" t="str">
            <v>Dairy</v>
          </cell>
          <cell r="O1903">
            <v>9.4499999999999993</v>
          </cell>
        </row>
        <row r="1904">
          <cell r="B1904">
            <v>45293</v>
          </cell>
          <cell r="J1904" t="str">
            <v>Dairy</v>
          </cell>
          <cell r="O1904">
            <v>49</v>
          </cell>
        </row>
        <row r="1905">
          <cell r="B1905">
            <v>45311</v>
          </cell>
          <cell r="J1905" t="str">
            <v>Beverages</v>
          </cell>
          <cell r="O1905">
            <v>18.899999999999999</v>
          </cell>
        </row>
        <row r="1906">
          <cell r="B1906">
            <v>45539</v>
          </cell>
          <cell r="J1906" t="str">
            <v>Beverages</v>
          </cell>
          <cell r="O1906">
            <v>11.56</v>
          </cell>
        </row>
        <row r="1907">
          <cell r="B1907">
            <v>45441</v>
          </cell>
          <cell r="J1907" t="str">
            <v>Handicrafts</v>
          </cell>
          <cell r="O1907">
            <v>560</v>
          </cell>
        </row>
        <row r="1908">
          <cell r="B1908">
            <v>45443</v>
          </cell>
          <cell r="J1908" t="str">
            <v>Handicrafts</v>
          </cell>
          <cell r="O1908">
            <v>48</v>
          </cell>
        </row>
        <row r="1909">
          <cell r="B1909">
            <v>45520</v>
          </cell>
          <cell r="J1909" t="str">
            <v>Handicrafts</v>
          </cell>
          <cell r="O1909">
            <v>385</v>
          </cell>
        </row>
        <row r="1910">
          <cell r="B1910">
            <v>45455</v>
          </cell>
          <cell r="J1910" t="str">
            <v>Beverages</v>
          </cell>
          <cell r="O1910">
            <v>3</v>
          </cell>
        </row>
        <row r="1911">
          <cell r="B1911">
            <v>45542</v>
          </cell>
          <cell r="J1911" t="str">
            <v>Beverages</v>
          </cell>
          <cell r="O1911">
            <v>20</v>
          </cell>
        </row>
        <row r="1912">
          <cell r="B1912">
            <v>45551</v>
          </cell>
          <cell r="J1912" t="str">
            <v>Handicrafts</v>
          </cell>
          <cell r="O1912">
            <v>208.25</v>
          </cell>
        </row>
        <row r="1913">
          <cell r="B1913">
            <v>45425</v>
          </cell>
          <cell r="J1913" t="str">
            <v>Groceries</v>
          </cell>
          <cell r="O1913">
            <v>22</v>
          </cell>
        </row>
        <row r="1914">
          <cell r="B1914">
            <v>45425</v>
          </cell>
          <cell r="J1914" t="str">
            <v>Groceries</v>
          </cell>
          <cell r="O1914">
            <v>2.4</v>
          </cell>
        </row>
        <row r="1915">
          <cell r="B1915">
            <v>45449</v>
          </cell>
          <cell r="J1915" t="str">
            <v>Handicrafts</v>
          </cell>
          <cell r="O1915">
            <v>120</v>
          </cell>
        </row>
        <row r="1916">
          <cell r="B1916">
            <v>45612</v>
          </cell>
          <cell r="J1916" t="str">
            <v>Beverages</v>
          </cell>
          <cell r="O1916">
            <v>2.84</v>
          </cell>
        </row>
        <row r="1917">
          <cell r="B1917">
            <v>45302</v>
          </cell>
          <cell r="J1917" t="str">
            <v>Groceries</v>
          </cell>
          <cell r="O1917">
            <v>26</v>
          </cell>
        </row>
        <row r="1918">
          <cell r="B1918">
            <v>45627</v>
          </cell>
          <cell r="J1918" t="str">
            <v>Handicrafts</v>
          </cell>
          <cell r="O1918">
            <v>22.8</v>
          </cell>
        </row>
        <row r="1919">
          <cell r="B1919">
            <v>45566</v>
          </cell>
          <cell r="J1919" t="str">
            <v>Beverages</v>
          </cell>
          <cell r="O1919">
            <v>16.510000000000002</v>
          </cell>
        </row>
        <row r="1920">
          <cell r="B1920">
            <v>45461</v>
          </cell>
          <cell r="J1920" t="str">
            <v>Beverages</v>
          </cell>
          <cell r="O1920">
            <v>10.5</v>
          </cell>
        </row>
        <row r="1921">
          <cell r="B1921">
            <v>45302</v>
          </cell>
          <cell r="J1921" t="str">
            <v>Traditional Food</v>
          </cell>
          <cell r="O1921">
            <v>8.5</v>
          </cell>
        </row>
        <row r="1922">
          <cell r="B1922">
            <v>45372</v>
          </cell>
          <cell r="J1922" t="str">
            <v>Dairy</v>
          </cell>
          <cell r="O1922">
            <v>15</v>
          </cell>
        </row>
        <row r="1923">
          <cell r="B1923">
            <v>45431</v>
          </cell>
          <cell r="J1923" t="str">
            <v>Beverages</v>
          </cell>
          <cell r="O1923">
            <v>2.56</v>
          </cell>
        </row>
        <row r="1924">
          <cell r="B1924">
            <v>45430</v>
          </cell>
          <cell r="J1924" t="str">
            <v>Groceries</v>
          </cell>
          <cell r="O1924">
            <v>8.4</v>
          </cell>
        </row>
        <row r="1925">
          <cell r="B1925">
            <v>45299</v>
          </cell>
          <cell r="J1925" t="str">
            <v>Groceries</v>
          </cell>
          <cell r="O1925">
            <v>20.52</v>
          </cell>
        </row>
        <row r="1926">
          <cell r="B1926">
            <v>45602</v>
          </cell>
          <cell r="J1926" t="str">
            <v>Groceries</v>
          </cell>
          <cell r="O1926">
            <v>23.8</v>
          </cell>
        </row>
        <row r="1927">
          <cell r="B1927">
            <v>45432</v>
          </cell>
          <cell r="J1927" t="str">
            <v>Traditional Food</v>
          </cell>
          <cell r="O1927">
            <v>7.5</v>
          </cell>
        </row>
        <row r="1928">
          <cell r="B1928">
            <v>45441</v>
          </cell>
          <cell r="J1928" t="str">
            <v>Dairy</v>
          </cell>
          <cell r="O1928">
            <v>21</v>
          </cell>
        </row>
        <row r="1929">
          <cell r="B1929">
            <v>45539</v>
          </cell>
          <cell r="J1929" t="str">
            <v>Groceries</v>
          </cell>
          <cell r="O1929">
            <v>18</v>
          </cell>
        </row>
        <row r="1930">
          <cell r="B1930">
            <v>45546</v>
          </cell>
          <cell r="J1930" t="str">
            <v>Groceries</v>
          </cell>
          <cell r="O1930">
            <v>36.4</v>
          </cell>
        </row>
        <row r="1931">
          <cell r="B1931">
            <v>45406</v>
          </cell>
          <cell r="J1931" t="str">
            <v>Traditional Food</v>
          </cell>
          <cell r="O1931">
            <v>47.5</v>
          </cell>
        </row>
        <row r="1932">
          <cell r="B1932">
            <v>45536</v>
          </cell>
          <cell r="J1932" t="str">
            <v>Groceries</v>
          </cell>
          <cell r="O1932">
            <v>17.100000000000001</v>
          </cell>
        </row>
        <row r="1933">
          <cell r="B1933">
            <v>45340</v>
          </cell>
          <cell r="J1933" t="str">
            <v>Beverages</v>
          </cell>
          <cell r="O1933">
            <v>18</v>
          </cell>
        </row>
        <row r="1934">
          <cell r="B1934">
            <v>45334</v>
          </cell>
          <cell r="J1934" t="str">
            <v>Dairy</v>
          </cell>
          <cell r="O1934">
            <v>7.5</v>
          </cell>
        </row>
        <row r="1935">
          <cell r="B1935">
            <v>45322</v>
          </cell>
          <cell r="J1935" t="str">
            <v>Dairy</v>
          </cell>
          <cell r="O1935">
            <v>56</v>
          </cell>
        </row>
        <row r="1936">
          <cell r="B1936">
            <v>45310</v>
          </cell>
          <cell r="J1936" t="str">
            <v>Handicrafts</v>
          </cell>
          <cell r="O1936">
            <v>79.2</v>
          </cell>
        </row>
        <row r="1937">
          <cell r="B1937">
            <v>45645</v>
          </cell>
          <cell r="J1937" t="str">
            <v>Traditional Food</v>
          </cell>
          <cell r="O1937">
            <v>2.94</v>
          </cell>
        </row>
        <row r="1938">
          <cell r="B1938">
            <v>45452</v>
          </cell>
          <cell r="J1938" t="str">
            <v>Groceries</v>
          </cell>
          <cell r="O1938">
            <v>16</v>
          </cell>
        </row>
        <row r="1939">
          <cell r="B1939">
            <v>45345</v>
          </cell>
          <cell r="J1939" t="str">
            <v>Dairy</v>
          </cell>
          <cell r="O1939">
            <v>44.1</v>
          </cell>
        </row>
        <row r="1940">
          <cell r="B1940">
            <v>45558</v>
          </cell>
          <cell r="J1940" t="str">
            <v>Traditional Food</v>
          </cell>
          <cell r="O1940">
            <v>2</v>
          </cell>
        </row>
        <row r="1941">
          <cell r="B1941">
            <v>45509</v>
          </cell>
          <cell r="J1941" t="str">
            <v>Traditional Food</v>
          </cell>
          <cell r="O1941">
            <v>40</v>
          </cell>
        </row>
        <row r="1942">
          <cell r="B1942">
            <v>45572</v>
          </cell>
          <cell r="J1942" t="str">
            <v>Dairy</v>
          </cell>
          <cell r="O1942">
            <v>21</v>
          </cell>
        </row>
        <row r="1943">
          <cell r="B1943">
            <v>45638</v>
          </cell>
          <cell r="J1943" t="str">
            <v>Groceries</v>
          </cell>
          <cell r="O1943">
            <v>10.26</v>
          </cell>
        </row>
        <row r="1944">
          <cell r="B1944">
            <v>45364</v>
          </cell>
          <cell r="J1944" t="str">
            <v>Handicrafts</v>
          </cell>
          <cell r="O1944">
            <v>114</v>
          </cell>
        </row>
        <row r="1945">
          <cell r="B1945">
            <v>45533</v>
          </cell>
          <cell r="J1945" t="str">
            <v>Handicrafts</v>
          </cell>
          <cell r="O1945">
            <v>180</v>
          </cell>
        </row>
        <row r="1946">
          <cell r="B1946">
            <v>45560</v>
          </cell>
          <cell r="J1946" t="str">
            <v>Beverages</v>
          </cell>
          <cell r="O1946">
            <v>16</v>
          </cell>
        </row>
        <row r="1947">
          <cell r="B1947">
            <v>45326</v>
          </cell>
          <cell r="J1947" t="str">
            <v>Beverages</v>
          </cell>
          <cell r="O1947">
            <v>1</v>
          </cell>
        </row>
        <row r="1948">
          <cell r="B1948">
            <v>45461</v>
          </cell>
          <cell r="J1948" t="str">
            <v>Traditional Food</v>
          </cell>
          <cell r="O1948">
            <v>10</v>
          </cell>
        </row>
        <row r="1949">
          <cell r="B1949">
            <v>45471</v>
          </cell>
          <cell r="J1949" t="str">
            <v>Beverages</v>
          </cell>
          <cell r="O1949">
            <v>13.5</v>
          </cell>
        </row>
        <row r="1950">
          <cell r="B1950">
            <v>45437</v>
          </cell>
          <cell r="J1950" t="str">
            <v>Beverages</v>
          </cell>
          <cell r="O1950">
            <v>19.88</v>
          </cell>
        </row>
        <row r="1951">
          <cell r="B1951">
            <v>45579</v>
          </cell>
          <cell r="J1951" t="str">
            <v>Groceries</v>
          </cell>
          <cell r="O1951">
            <v>45.36</v>
          </cell>
        </row>
        <row r="1952">
          <cell r="B1952">
            <v>45402</v>
          </cell>
          <cell r="J1952" t="str">
            <v>Beverages</v>
          </cell>
          <cell r="O1952">
            <v>9</v>
          </cell>
        </row>
        <row r="1953">
          <cell r="B1953">
            <v>45461</v>
          </cell>
          <cell r="J1953" t="str">
            <v>Beverages</v>
          </cell>
          <cell r="O1953">
            <v>16.149999999999999</v>
          </cell>
        </row>
        <row r="1954">
          <cell r="B1954">
            <v>45399</v>
          </cell>
          <cell r="J1954" t="str">
            <v>Clothing</v>
          </cell>
          <cell r="O1954">
            <v>108</v>
          </cell>
        </row>
        <row r="1955">
          <cell r="B1955">
            <v>45365</v>
          </cell>
          <cell r="J1955" t="str">
            <v>Traditional Food</v>
          </cell>
          <cell r="O1955">
            <v>6</v>
          </cell>
        </row>
        <row r="1956">
          <cell r="B1956">
            <v>45362</v>
          </cell>
          <cell r="J1956" t="str">
            <v>Traditional Food</v>
          </cell>
          <cell r="O1956">
            <v>14.45</v>
          </cell>
        </row>
        <row r="1957">
          <cell r="B1957">
            <v>45446</v>
          </cell>
          <cell r="J1957" t="str">
            <v>Dairy</v>
          </cell>
          <cell r="O1957">
            <v>21.59</v>
          </cell>
        </row>
        <row r="1958">
          <cell r="B1958">
            <v>45489</v>
          </cell>
          <cell r="J1958" t="str">
            <v>Groceries</v>
          </cell>
          <cell r="O1958">
            <v>44.8</v>
          </cell>
        </row>
        <row r="1959">
          <cell r="B1959">
            <v>45601</v>
          </cell>
          <cell r="J1959" t="str">
            <v>Handicrafts</v>
          </cell>
          <cell r="O1959">
            <v>56</v>
          </cell>
        </row>
        <row r="1960">
          <cell r="B1960">
            <v>45515</v>
          </cell>
          <cell r="J1960" t="str">
            <v>Clothing</v>
          </cell>
          <cell r="O1960">
            <v>324</v>
          </cell>
        </row>
        <row r="1961">
          <cell r="B1961">
            <v>45577</v>
          </cell>
          <cell r="J1961" t="str">
            <v>Clothing</v>
          </cell>
          <cell r="O1961">
            <v>226.8</v>
          </cell>
        </row>
        <row r="1962">
          <cell r="B1962">
            <v>45635</v>
          </cell>
          <cell r="J1962" t="str">
            <v>Handicrafts</v>
          </cell>
          <cell r="O1962">
            <v>129.6</v>
          </cell>
        </row>
        <row r="1963">
          <cell r="B1963">
            <v>45487</v>
          </cell>
          <cell r="J1963" t="str">
            <v>Groceries</v>
          </cell>
          <cell r="O1963">
            <v>24</v>
          </cell>
        </row>
        <row r="1964">
          <cell r="B1964">
            <v>45476</v>
          </cell>
          <cell r="J1964" t="str">
            <v>Beverages</v>
          </cell>
          <cell r="O1964">
            <v>25.5</v>
          </cell>
        </row>
        <row r="1965">
          <cell r="B1965">
            <v>45480</v>
          </cell>
          <cell r="J1965" t="str">
            <v>Handicrafts</v>
          </cell>
          <cell r="O1965">
            <v>68.400000000000006</v>
          </cell>
        </row>
        <row r="1966">
          <cell r="B1966">
            <v>45623</v>
          </cell>
          <cell r="J1966" t="str">
            <v>Clothing</v>
          </cell>
          <cell r="O1966">
            <v>145.80000000000001</v>
          </cell>
        </row>
        <row r="1967">
          <cell r="B1967">
            <v>45612</v>
          </cell>
          <cell r="J1967" t="str">
            <v>Clothing</v>
          </cell>
          <cell r="O1967">
            <v>34.200000000000003</v>
          </cell>
        </row>
        <row r="1968">
          <cell r="B1968">
            <v>45543</v>
          </cell>
          <cell r="J1968" t="str">
            <v>Dairy</v>
          </cell>
          <cell r="O1968">
            <v>9</v>
          </cell>
        </row>
        <row r="1969">
          <cell r="B1969">
            <v>45311</v>
          </cell>
          <cell r="J1969" t="str">
            <v>Groceries</v>
          </cell>
          <cell r="O1969">
            <v>24</v>
          </cell>
        </row>
        <row r="1970">
          <cell r="B1970">
            <v>45359</v>
          </cell>
          <cell r="J1970" t="str">
            <v>Beverages</v>
          </cell>
          <cell r="O1970">
            <v>3</v>
          </cell>
        </row>
        <row r="1971">
          <cell r="B1971">
            <v>45618</v>
          </cell>
          <cell r="J1971" t="str">
            <v>Traditional Food</v>
          </cell>
          <cell r="O1971">
            <v>1</v>
          </cell>
        </row>
        <row r="1972">
          <cell r="B1972">
            <v>45627</v>
          </cell>
          <cell r="J1972" t="str">
            <v>Clothing</v>
          </cell>
          <cell r="O1972">
            <v>324</v>
          </cell>
        </row>
        <row r="1973">
          <cell r="B1973">
            <v>45592</v>
          </cell>
          <cell r="J1973" t="str">
            <v>Handicrafts</v>
          </cell>
          <cell r="O1973">
            <v>91.2</v>
          </cell>
        </row>
        <row r="1974">
          <cell r="B1974">
            <v>45633</v>
          </cell>
          <cell r="J1974" t="str">
            <v>Groceries</v>
          </cell>
          <cell r="O1974">
            <v>5.6</v>
          </cell>
        </row>
        <row r="1975">
          <cell r="B1975">
            <v>45428</v>
          </cell>
          <cell r="J1975" t="str">
            <v>Dairy</v>
          </cell>
          <cell r="O1975">
            <v>10.5</v>
          </cell>
        </row>
        <row r="1976">
          <cell r="B1976">
            <v>45380</v>
          </cell>
          <cell r="J1976" t="str">
            <v>Beverages</v>
          </cell>
          <cell r="O1976">
            <v>1.5</v>
          </cell>
        </row>
        <row r="1977">
          <cell r="B1977">
            <v>45530</v>
          </cell>
          <cell r="J1977" t="str">
            <v>Traditional Food</v>
          </cell>
          <cell r="O1977">
            <v>40.28</v>
          </cell>
        </row>
        <row r="1978">
          <cell r="B1978">
            <v>45351</v>
          </cell>
          <cell r="J1978" t="str">
            <v>Groceries</v>
          </cell>
          <cell r="O1978">
            <v>2.7</v>
          </cell>
        </row>
        <row r="1979">
          <cell r="B1979">
            <v>45378</v>
          </cell>
          <cell r="J1979" t="str">
            <v>Handicrafts</v>
          </cell>
          <cell r="O1979">
            <v>8</v>
          </cell>
        </row>
        <row r="1980">
          <cell r="B1980">
            <v>45449</v>
          </cell>
          <cell r="J1980" t="str">
            <v>Traditional Food</v>
          </cell>
          <cell r="O1980">
            <v>6.3</v>
          </cell>
        </row>
        <row r="1981">
          <cell r="B1981">
            <v>45486</v>
          </cell>
          <cell r="J1981" t="str">
            <v>Handicrafts</v>
          </cell>
          <cell r="O1981">
            <v>350</v>
          </cell>
        </row>
        <row r="1982">
          <cell r="B1982">
            <v>45407</v>
          </cell>
          <cell r="J1982" t="str">
            <v>Handicrafts</v>
          </cell>
          <cell r="O1982">
            <v>56</v>
          </cell>
        </row>
        <row r="1983">
          <cell r="B1983">
            <v>45649</v>
          </cell>
          <cell r="J1983" t="str">
            <v>Handicrafts</v>
          </cell>
          <cell r="O1983">
            <v>525</v>
          </cell>
        </row>
        <row r="1984">
          <cell r="B1984">
            <v>45620</v>
          </cell>
          <cell r="J1984" t="str">
            <v>Handicrafts</v>
          </cell>
          <cell r="O1984">
            <v>204</v>
          </cell>
        </row>
        <row r="1985">
          <cell r="B1985">
            <v>45591</v>
          </cell>
          <cell r="J1985" t="str">
            <v>Beverages</v>
          </cell>
          <cell r="O1985">
            <v>9.75</v>
          </cell>
        </row>
        <row r="1986">
          <cell r="B1986">
            <v>45622</v>
          </cell>
          <cell r="J1986" t="str">
            <v>Groceries</v>
          </cell>
          <cell r="O1986">
            <v>12</v>
          </cell>
        </row>
        <row r="1987">
          <cell r="B1987">
            <v>45338</v>
          </cell>
          <cell r="J1987" t="str">
            <v>Dairy</v>
          </cell>
          <cell r="O1987">
            <v>50.66</v>
          </cell>
        </row>
        <row r="1988">
          <cell r="B1988">
            <v>45308</v>
          </cell>
          <cell r="J1988" t="str">
            <v>Groceries</v>
          </cell>
          <cell r="O1988">
            <v>3.4</v>
          </cell>
        </row>
        <row r="1989">
          <cell r="B1989">
            <v>45531</v>
          </cell>
          <cell r="J1989" t="str">
            <v>Dairy</v>
          </cell>
          <cell r="O1989">
            <v>28.5</v>
          </cell>
        </row>
        <row r="1990">
          <cell r="B1990">
            <v>45651</v>
          </cell>
          <cell r="J1990" t="str">
            <v>Traditional Food</v>
          </cell>
          <cell r="O1990">
            <v>1.8</v>
          </cell>
        </row>
        <row r="1991">
          <cell r="B1991">
            <v>45507</v>
          </cell>
          <cell r="J1991" t="str">
            <v>Traditional Food</v>
          </cell>
          <cell r="O1991">
            <v>8</v>
          </cell>
        </row>
        <row r="1992">
          <cell r="B1992">
            <v>45475</v>
          </cell>
          <cell r="J1992" t="str">
            <v>Traditional Food</v>
          </cell>
          <cell r="O1992">
            <v>25</v>
          </cell>
        </row>
        <row r="1993">
          <cell r="B1993">
            <v>45607</v>
          </cell>
          <cell r="J1993" t="str">
            <v>Traditional Food</v>
          </cell>
          <cell r="O1993">
            <v>7.05</v>
          </cell>
        </row>
        <row r="1994">
          <cell r="B1994">
            <v>45416</v>
          </cell>
          <cell r="J1994" t="str">
            <v>Groceries</v>
          </cell>
          <cell r="O1994">
            <v>22.68</v>
          </cell>
        </row>
        <row r="1995">
          <cell r="B1995">
            <v>45445</v>
          </cell>
          <cell r="J1995" t="str">
            <v>Dairy</v>
          </cell>
          <cell r="O1995">
            <v>3</v>
          </cell>
        </row>
        <row r="1996">
          <cell r="B1996">
            <v>45507</v>
          </cell>
          <cell r="J1996" t="str">
            <v>Dairy</v>
          </cell>
          <cell r="O1996">
            <v>41.72</v>
          </cell>
        </row>
        <row r="1997">
          <cell r="B1997">
            <v>45375</v>
          </cell>
          <cell r="J1997" t="str">
            <v>Groceries</v>
          </cell>
          <cell r="O1997">
            <v>47.6</v>
          </cell>
        </row>
        <row r="1998">
          <cell r="B1998">
            <v>45582</v>
          </cell>
          <cell r="J1998" t="str">
            <v>Dairy</v>
          </cell>
          <cell r="O1998">
            <v>17.5</v>
          </cell>
        </row>
        <row r="1999">
          <cell r="B1999">
            <v>45450</v>
          </cell>
          <cell r="J1999" t="str">
            <v>Traditional Food</v>
          </cell>
          <cell r="O1999">
            <v>2.1</v>
          </cell>
        </row>
        <row r="2000">
          <cell r="B2000">
            <v>45292</v>
          </cell>
          <cell r="J2000" t="str">
            <v>Beverages</v>
          </cell>
          <cell r="O2000">
            <v>3.75</v>
          </cell>
        </row>
        <row r="2001">
          <cell r="B2001">
            <v>45386</v>
          </cell>
          <cell r="J2001" t="str">
            <v>Handicrafts</v>
          </cell>
          <cell r="O2001">
            <v>238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36FD52-6927-1E40-8BCA-F87D590EAC02}" name="campaigns" displayName="campaigns" ref="A1:G13" totalsRowShown="0" headerRowDxfId="11">
  <autoFilter ref="A1:G13" xr:uid="{B936FD52-6927-1E40-8BCA-F87D590EAC02}"/>
  <tableColumns count="7">
    <tableColumn id="1" xr3:uid="{5C482EDD-C218-3C4D-BC68-EF6B1F494760}" name="campaign_id" dataDxfId="18"/>
    <tableColumn id="2" xr3:uid="{47AAB797-DD22-1E45-97B5-50A789441DE4}" name="campaign_name" dataDxfId="17"/>
    <tableColumn id="3" xr3:uid="{CC90F30D-02E8-F942-8476-889DE479732E}" name="start_date" dataDxfId="16"/>
    <tableColumn id="4" xr3:uid="{558FB0C4-7158-4848-95C7-0F316E814FB6}" name="end_date" dataDxfId="15"/>
    <tableColumn id="5" xr3:uid="{403DA354-B71B-AF4A-A6E5-42CD45A3F6BE}" name="channel" dataDxfId="14"/>
    <tableColumn id="6" xr3:uid="{E5A033EC-F8CC-7142-B0C0-5EB4154D64B9}" name="investment_usd" dataDxfId="13"/>
    <tableColumn id="7" xr3:uid="{899B88BF-57A9-C344-8ECF-E76F7E7BB4F8}" name="target_category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B9E38C-5395-7341-8C6F-1F7917E1BBF7}" name="Table2" displayName="Table2" ref="A1:K13" totalsRowShown="0">
  <autoFilter ref="A1:K13" xr:uid="{3BB9E38C-5395-7341-8C6F-1F7917E1BBF7}"/>
  <tableColumns count="11">
    <tableColumn id="1" xr3:uid="{4F2545AC-9582-2B48-B1CB-15E04E5207B0}" name="campaign_name" dataDxfId="10"/>
    <tableColumn id="2" xr3:uid="{C0A9C54B-CCB1-1B43-BB17-FBB576F1AB76}" name="channel" dataDxfId="9">
      <calculatedColumnFormula>VLOOKUP(A2,campaigns[[campaign_name]:[target_category]],4,0)</calculatedColumnFormula>
    </tableColumn>
    <tableColumn id="3" xr3:uid="{9516908F-22B0-584C-AE0D-B3B4495BA13A}" name="target_category" dataDxfId="8">
      <calculatedColumnFormula>VLOOKUP(A2,campaigns[[campaign_name]:[target_category]],6,0)</calculatedColumnFormula>
    </tableColumn>
    <tableColumn id="4" xr3:uid="{AEEC945D-3F7B-E443-87E7-9A63B0168F89}" name="investment_usd" dataDxfId="7">
      <calculatedColumnFormula>VLOOKUP(A2,campaigns[[campaign_name]:[target_category]],5,0)</calculatedColumnFormula>
    </tableColumn>
    <tableColumn id="5" xr3:uid="{488D1428-58C7-D144-8D8E-754F906812CA}" name="revenue_generated" dataDxfId="6">
      <calculatedColumnFormula>SUMIF([1]Ventas!$J:$J, C2, [1]Ventas!$O:$O)</calculatedColumnFormula>
    </tableColumn>
    <tableColumn id="6" xr3:uid="{BB5CAFC2-0BBE-504D-AA8F-B6150AB31773}" name="roi_usd" dataDxfId="5">
      <calculatedColumnFormula>E2-D2</calculatedColumnFormula>
    </tableColumn>
    <tableColumn id="7" xr3:uid="{91992EBC-3230-0645-BA77-5BE91827B1FC}" name="roi_pct %" dataDxfId="4" dataCellStyle="Percent">
      <calculatedColumnFormula>E2/D2</calculatedColumnFormula>
    </tableColumn>
    <tableColumn id="8" xr3:uid="{52C5FC44-A628-A644-BDA6-023AC2F77720}" name="revenue_by_period" dataDxfId="3">
      <calculatedColumnFormula>SUMIFS([1]Ventas!$O:$O,[1]Ventas!$J:$J,C2,[1]Ventas!$B:$B,"&gt;="&amp;J2,[1]Ventas!$B:$B,"&lt;="&amp;K2)</calculatedColumnFormula>
    </tableColumn>
    <tableColumn id="9" xr3:uid="{E0547937-B6C4-A14D-9949-625BBC9129CE}" name="roi_pct_adjusted" dataDxfId="2" dataCellStyle="Percent">
      <calculatedColumnFormula>H2/D2</calculatedColumnFormula>
    </tableColumn>
    <tableColumn id="10" xr3:uid="{20787842-1FD5-DD43-B3BB-A87874F549AD}" name="start_date" dataDxfId="1">
      <calculatedColumnFormula>VLOOKUP(A2,campaigns[[campaign_name]:[target_category]],2,0)</calculatedColumnFormula>
    </tableColumn>
    <tableColumn id="11" xr3:uid="{FBD29AA9-021A-DD43-BC4F-848D0667000A}" name="end_date" dataDxfId="0">
      <calculatedColumnFormula>VLOOKUP(A2,campaigns[[campaign_name]:[target_category]],3,0)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B26AC-EB32-2243-882D-041BED6DDC79}">
  <dimension ref="A1:G13"/>
  <sheetViews>
    <sheetView workbookViewId="0">
      <selection activeCell="B2" sqref="B2:B13"/>
    </sheetView>
  </sheetViews>
  <sheetFormatPr baseColWidth="10" defaultRowHeight="16" x14ac:dyDescent="0.2"/>
  <cols>
    <col min="1" max="1" width="14" customWidth="1"/>
    <col min="2" max="2" width="21.83203125" bestFit="1" customWidth="1"/>
    <col min="3" max="3" width="12" customWidth="1"/>
    <col min="4" max="4" width="11" customWidth="1"/>
    <col min="5" max="5" width="11.5" bestFit="1" customWidth="1"/>
    <col min="6" max="6" width="16.6640625" customWidth="1"/>
    <col min="7" max="7" width="16.5" customWidth="1"/>
  </cols>
  <sheetData>
    <row r="1" spans="1:7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">
      <c r="A2" s="2">
        <v>1</v>
      </c>
      <c r="B2" s="2" t="s">
        <v>27</v>
      </c>
      <c r="C2" s="1">
        <v>45306</v>
      </c>
      <c r="D2" s="1">
        <v>45337</v>
      </c>
      <c r="E2" s="2" t="s">
        <v>14</v>
      </c>
      <c r="F2" s="3">
        <v>500</v>
      </c>
      <c r="G2" s="2" t="s">
        <v>12</v>
      </c>
    </row>
    <row r="3" spans="1:7" x14ac:dyDescent="0.2">
      <c r="A3" s="2">
        <v>2</v>
      </c>
      <c r="B3" s="2" t="s">
        <v>26</v>
      </c>
      <c r="C3" s="1">
        <v>45323</v>
      </c>
      <c r="D3" s="1">
        <v>45336</v>
      </c>
      <c r="E3" s="2" t="s">
        <v>11</v>
      </c>
      <c r="F3" s="3">
        <v>300</v>
      </c>
      <c r="G3" s="2" t="s">
        <v>17</v>
      </c>
    </row>
    <row r="4" spans="1:7" x14ac:dyDescent="0.2">
      <c r="A4" s="2">
        <v>3</v>
      </c>
      <c r="B4" s="2" t="s">
        <v>25</v>
      </c>
      <c r="C4" s="1">
        <v>45371</v>
      </c>
      <c r="D4" s="1">
        <v>45387</v>
      </c>
      <c r="E4" s="2" t="s">
        <v>14</v>
      </c>
      <c r="F4" s="3">
        <v>750</v>
      </c>
      <c r="G4" s="2" t="s">
        <v>15</v>
      </c>
    </row>
    <row r="5" spans="1:7" x14ac:dyDescent="0.2">
      <c r="A5" s="2">
        <v>4</v>
      </c>
      <c r="B5" s="2" t="s">
        <v>23</v>
      </c>
      <c r="C5" s="1">
        <v>45413</v>
      </c>
      <c r="D5" s="1">
        <v>45422</v>
      </c>
      <c r="E5" s="2" t="s">
        <v>11</v>
      </c>
      <c r="F5" s="3">
        <v>400</v>
      </c>
      <c r="G5" s="2" t="s">
        <v>24</v>
      </c>
    </row>
    <row r="6" spans="1:7" x14ac:dyDescent="0.2">
      <c r="A6" s="2">
        <v>5</v>
      </c>
      <c r="B6" s="2" t="s">
        <v>22</v>
      </c>
      <c r="C6" s="1">
        <v>45444</v>
      </c>
      <c r="D6" s="1">
        <v>45473</v>
      </c>
      <c r="E6" s="2" t="s">
        <v>8</v>
      </c>
      <c r="F6" s="3">
        <v>250</v>
      </c>
      <c r="G6" s="2" t="s">
        <v>9</v>
      </c>
    </row>
    <row r="7" spans="1:7" x14ac:dyDescent="0.2">
      <c r="A7" s="2">
        <v>6</v>
      </c>
      <c r="B7" s="2" t="s">
        <v>21</v>
      </c>
      <c r="C7" s="1">
        <v>45498</v>
      </c>
      <c r="D7" s="1">
        <v>45510</v>
      </c>
      <c r="E7" s="2" t="s">
        <v>14</v>
      </c>
      <c r="F7" s="3">
        <v>800</v>
      </c>
      <c r="G7" s="2" t="s">
        <v>12</v>
      </c>
    </row>
    <row r="8" spans="1:7" x14ac:dyDescent="0.2">
      <c r="A8" s="2">
        <v>7</v>
      </c>
      <c r="B8" s="2" t="s">
        <v>19</v>
      </c>
      <c r="C8" s="1">
        <v>45488</v>
      </c>
      <c r="D8" s="1">
        <v>45519</v>
      </c>
      <c r="E8" s="2" t="s">
        <v>11</v>
      </c>
      <c r="F8" s="3">
        <v>350</v>
      </c>
      <c r="G8" s="2" t="s">
        <v>20</v>
      </c>
    </row>
    <row r="9" spans="1:7" x14ac:dyDescent="0.2">
      <c r="A9" s="2">
        <v>8</v>
      </c>
      <c r="B9" s="2" t="s">
        <v>18</v>
      </c>
      <c r="C9" s="1">
        <v>45536</v>
      </c>
      <c r="D9" s="1">
        <v>45550</v>
      </c>
      <c r="E9" s="2" t="s">
        <v>14</v>
      </c>
      <c r="F9" s="3">
        <v>600</v>
      </c>
      <c r="G9" s="2" t="s">
        <v>15</v>
      </c>
    </row>
    <row r="10" spans="1:7" x14ac:dyDescent="0.2">
      <c r="A10" s="2">
        <v>9</v>
      </c>
      <c r="B10" s="2" t="s">
        <v>16</v>
      </c>
      <c r="C10" s="1">
        <v>45566</v>
      </c>
      <c r="D10" s="1">
        <v>45596</v>
      </c>
      <c r="E10" s="2" t="s">
        <v>8</v>
      </c>
      <c r="F10" s="3">
        <v>200</v>
      </c>
      <c r="G10" s="2" t="s">
        <v>17</v>
      </c>
    </row>
    <row r="11" spans="1:7" x14ac:dyDescent="0.2">
      <c r="A11" s="2">
        <v>10</v>
      </c>
      <c r="B11" s="2" t="s">
        <v>13</v>
      </c>
      <c r="C11" s="1">
        <v>45621</v>
      </c>
      <c r="D11" s="1">
        <v>45626</v>
      </c>
      <c r="E11" s="2" t="s">
        <v>14</v>
      </c>
      <c r="F11" s="3">
        <v>900</v>
      </c>
      <c r="G11" s="2" t="s">
        <v>15</v>
      </c>
    </row>
    <row r="12" spans="1:7" x14ac:dyDescent="0.2">
      <c r="A12" s="2">
        <v>11</v>
      </c>
      <c r="B12" s="2" t="s">
        <v>10</v>
      </c>
      <c r="C12" s="1">
        <v>45627</v>
      </c>
      <c r="D12" s="1">
        <v>45650</v>
      </c>
      <c r="E12" s="2" t="s">
        <v>11</v>
      </c>
      <c r="F12" s="3">
        <v>650</v>
      </c>
      <c r="G12" s="2" t="s">
        <v>12</v>
      </c>
    </row>
    <row r="13" spans="1:7" x14ac:dyDescent="0.2">
      <c r="A13" s="2">
        <v>12</v>
      </c>
      <c r="B13" s="2" t="s">
        <v>7</v>
      </c>
      <c r="C13" s="1">
        <v>45652</v>
      </c>
      <c r="D13" s="1">
        <v>45657</v>
      </c>
      <c r="E13" s="2" t="s">
        <v>8</v>
      </c>
      <c r="F13" s="3">
        <v>300</v>
      </c>
      <c r="G13" s="2" t="s">
        <v>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D02EE-1630-7A4D-A782-C587A89A6172}">
  <dimension ref="A1:K13"/>
  <sheetViews>
    <sheetView tabSelected="1" workbookViewId="0">
      <selection sqref="A1:K13"/>
    </sheetView>
  </sheetViews>
  <sheetFormatPr baseColWidth="10" defaultRowHeight="16" x14ac:dyDescent="0.2"/>
  <cols>
    <col min="1" max="1" width="21.83203125" bestFit="1" customWidth="1"/>
    <col min="2" max="2" width="11.5" bestFit="1" customWidth="1"/>
    <col min="3" max="3" width="16.5" customWidth="1"/>
    <col min="4" max="4" width="16.6640625" customWidth="1"/>
    <col min="5" max="5" width="19.1640625" customWidth="1"/>
    <col min="6" max="6" width="14.5" customWidth="1"/>
    <col min="7" max="7" width="11" customWidth="1"/>
    <col min="8" max="8" width="18.6640625" customWidth="1"/>
    <col min="9" max="9" width="17.1640625" customWidth="1"/>
    <col min="10" max="10" width="12" customWidth="1"/>
    <col min="11" max="11" width="11" customWidth="1"/>
  </cols>
  <sheetData>
    <row r="1" spans="1:11" x14ac:dyDescent="0.2">
      <c r="A1" t="s">
        <v>1</v>
      </c>
      <c r="B1" t="s">
        <v>4</v>
      </c>
      <c r="C1" t="s">
        <v>6</v>
      </c>
      <c r="D1" t="s">
        <v>5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2</v>
      </c>
      <c r="K1" t="s">
        <v>3</v>
      </c>
    </row>
    <row r="2" spans="1:11" x14ac:dyDescent="0.2">
      <c r="A2" s="2" t="s">
        <v>27</v>
      </c>
      <c r="B2" s="2" t="str">
        <f>VLOOKUP(A2,campaigns[[campaign_name]:[target_category]],4,0)</f>
        <v>Social Media</v>
      </c>
      <c r="C2" s="2" t="str">
        <f>VLOOKUP(A2,campaigns[[campaign_name]:[target_category]],6,0)</f>
        <v>Traditional Food</v>
      </c>
      <c r="D2" s="3">
        <f>VLOOKUP(A2,campaigns[[campaign_name]:[target_category]],5,0)</f>
        <v>500</v>
      </c>
      <c r="E2" s="3">
        <f>SUMIF([1]Ventas!$J:$J, C2, [1]Ventas!$O:$O)</f>
        <v>5407.2000000000007</v>
      </c>
      <c r="F2" s="3">
        <f>E2-D2</f>
        <v>4907.2000000000007</v>
      </c>
      <c r="G2" s="4">
        <f>E2/D2</f>
        <v>10.814400000000001</v>
      </c>
      <c r="H2" s="3">
        <f>SUMIFS([1]Ventas!$O:$O,[1]Ventas!$J:$J,C2,[1]Ventas!$B:$B,"&gt;="&amp;J2,[1]Ventas!$B:$B,"&lt;="&amp;K2)</f>
        <v>383.63</v>
      </c>
      <c r="I2" s="4">
        <f>H2/D2</f>
        <v>0.76725999999999994</v>
      </c>
      <c r="J2" s="1">
        <f>VLOOKUP(A2,campaigns[[campaign_name]:[target_category]],2,0)</f>
        <v>45306</v>
      </c>
      <c r="K2" s="1">
        <f>VLOOKUP(A2,campaigns[[campaign_name]:[target_category]],3,0)</f>
        <v>45337</v>
      </c>
    </row>
    <row r="3" spans="1:11" x14ac:dyDescent="0.2">
      <c r="A3" s="2" t="s">
        <v>26</v>
      </c>
      <c r="B3" s="2" t="str">
        <f>VLOOKUP(A3,campaigns[[campaign_name]:[target_category]],4,0)</f>
        <v>Email</v>
      </c>
      <c r="C3" s="2" t="str">
        <f>VLOOKUP(A3,campaigns[[campaign_name]:[target_category]],6,0)</f>
        <v>Beverages</v>
      </c>
      <c r="D3" s="3">
        <f>VLOOKUP(A3,campaigns[[campaign_name]:[target_category]],5,0)</f>
        <v>300</v>
      </c>
      <c r="E3" s="3">
        <f>SUMIF([1]Ventas!$J:$J, C3, [1]Ventas!$O:$O)</f>
        <v>4456.8800000000019</v>
      </c>
      <c r="F3" s="3">
        <f t="shared" ref="F3:F13" si="0">E3-D3</f>
        <v>4156.8800000000019</v>
      </c>
      <c r="G3" s="4">
        <f t="shared" ref="G3:G13" si="1">E3/D3</f>
        <v>14.856266666666674</v>
      </c>
      <c r="H3" s="3">
        <f>SUMIFS([1]Ventas!$O:$O,[1]Ventas!$J:$J,C3,[1]Ventas!$B:$B,"&gt;="&amp;J3,[1]Ventas!$B:$B,"&lt;="&amp;K3)</f>
        <v>183.02</v>
      </c>
      <c r="I3" s="4">
        <f t="shared" ref="I3:I13" si="2">H3/D3</f>
        <v>0.61006666666666665</v>
      </c>
      <c r="J3" s="1">
        <f>VLOOKUP(A3,campaigns[[campaign_name]:[target_category]],2,0)</f>
        <v>45323</v>
      </c>
      <c r="K3" s="1">
        <f>VLOOKUP(A3,campaigns[[campaign_name]:[target_category]],3,0)</f>
        <v>45336</v>
      </c>
    </row>
    <row r="4" spans="1:11" x14ac:dyDescent="0.2">
      <c r="A4" s="2" t="s">
        <v>25</v>
      </c>
      <c r="B4" s="2" t="str">
        <f>VLOOKUP(A4,campaigns[[campaign_name]:[target_category]],4,0)</f>
        <v>Social Media</v>
      </c>
      <c r="C4" s="2" t="str">
        <f>VLOOKUP(A4,campaigns[[campaign_name]:[target_category]],6,0)</f>
        <v>Handicrafts</v>
      </c>
      <c r="D4" s="3">
        <f>VLOOKUP(A4,campaigns[[campaign_name]:[target_category]],5,0)</f>
        <v>750</v>
      </c>
      <c r="E4" s="3">
        <f>SUMIF([1]Ventas!$J:$J, C4, [1]Ventas!$O:$O)</f>
        <v>61934.9</v>
      </c>
      <c r="F4" s="3">
        <f t="shared" si="0"/>
        <v>61184.9</v>
      </c>
      <c r="G4" s="4">
        <f t="shared" si="1"/>
        <v>82.579866666666675</v>
      </c>
      <c r="H4" s="3">
        <f>SUMIFS([1]Ventas!$O:$O,[1]Ventas!$J:$J,C4,[1]Ventas!$B:$B,"&gt;="&amp;J4,[1]Ventas!$B:$B,"&lt;="&amp;K4)</f>
        <v>2908.25</v>
      </c>
      <c r="I4" s="4">
        <f t="shared" si="2"/>
        <v>3.8776666666666668</v>
      </c>
      <c r="J4" s="1">
        <f>VLOOKUP(A4,campaigns[[campaign_name]:[target_category]],2,0)</f>
        <v>45371</v>
      </c>
      <c r="K4" s="1">
        <f>VLOOKUP(A4,campaigns[[campaign_name]:[target_category]],3,0)</f>
        <v>45387</v>
      </c>
    </row>
    <row r="5" spans="1:11" x14ac:dyDescent="0.2">
      <c r="A5" s="2" t="s">
        <v>23</v>
      </c>
      <c r="B5" s="2" t="str">
        <f>VLOOKUP(A5,campaigns[[campaign_name]:[target_category]],4,0)</f>
        <v>Email</v>
      </c>
      <c r="C5" s="2" t="str">
        <f>VLOOKUP(A5,campaigns[[campaign_name]:[target_category]],6,0)</f>
        <v>Clothing</v>
      </c>
      <c r="D5" s="3">
        <f>VLOOKUP(A5,campaigns[[campaign_name]:[target_category]],5,0)</f>
        <v>400</v>
      </c>
      <c r="E5" s="3">
        <f>SUMIF([1]Ventas!$J:$J, C5, [1]Ventas!$O:$O)</f>
        <v>18507.600000000002</v>
      </c>
      <c r="F5" s="3">
        <f t="shared" si="0"/>
        <v>18107.600000000002</v>
      </c>
      <c r="G5" s="4">
        <f t="shared" si="1"/>
        <v>46.269000000000005</v>
      </c>
      <c r="H5" s="3">
        <f>SUMIFS([1]Ventas!$O:$O,[1]Ventas!$J:$J,C5,[1]Ventas!$B:$B,"&gt;="&amp;J5,[1]Ventas!$B:$B,"&lt;="&amp;K5)</f>
        <v>357.3</v>
      </c>
      <c r="I5" s="4">
        <f t="shared" si="2"/>
        <v>0.89324999999999999</v>
      </c>
      <c r="J5" s="1">
        <f>VLOOKUP(A5,campaigns[[campaign_name]:[target_category]],2,0)</f>
        <v>45413</v>
      </c>
      <c r="K5" s="1">
        <f>VLOOKUP(A5,campaigns[[campaign_name]:[target_category]],3,0)</f>
        <v>45422</v>
      </c>
    </row>
    <row r="6" spans="1:11" x14ac:dyDescent="0.2">
      <c r="A6" s="2" t="s">
        <v>22</v>
      </c>
      <c r="B6" s="2" t="str">
        <f>VLOOKUP(A6,campaigns[[campaign_name]:[target_category]],4,0)</f>
        <v>In-Store</v>
      </c>
      <c r="C6" s="2" t="str">
        <f>VLOOKUP(A6,campaigns[[campaign_name]:[target_category]],6,0)</f>
        <v>Dairy</v>
      </c>
      <c r="D6" s="3">
        <f>VLOOKUP(A6,campaigns[[campaign_name]:[target_category]],5,0)</f>
        <v>250</v>
      </c>
      <c r="E6" s="3">
        <f>SUMIF([1]Ventas!$J:$J, C6, [1]Ventas!$O:$O)</f>
        <v>5982.3</v>
      </c>
      <c r="F6" s="3">
        <f t="shared" si="0"/>
        <v>5732.3</v>
      </c>
      <c r="G6" s="4">
        <f t="shared" si="1"/>
        <v>23.929200000000002</v>
      </c>
      <c r="H6" s="3">
        <f>SUMIFS([1]Ventas!$O:$O,[1]Ventas!$J:$J,C6,[1]Ventas!$B:$B,"&gt;="&amp;J6,[1]Ventas!$B:$B,"&lt;="&amp;K6)</f>
        <v>438.82</v>
      </c>
      <c r="I6" s="4">
        <f t="shared" si="2"/>
        <v>1.75528</v>
      </c>
      <c r="J6" s="1">
        <f>VLOOKUP(A6,campaigns[[campaign_name]:[target_category]],2,0)</f>
        <v>45444</v>
      </c>
      <c r="K6" s="1">
        <f>VLOOKUP(A6,campaigns[[campaign_name]:[target_category]],3,0)</f>
        <v>45473</v>
      </c>
    </row>
    <row r="7" spans="1:11" x14ac:dyDescent="0.2">
      <c r="A7" s="2" t="s">
        <v>21</v>
      </c>
      <c r="B7" s="2" t="str">
        <f>VLOOKUP(A7,campaigns[[campaign_name]:[target_category]],4,0)</f>
        <v>Social Media</v>
      </c>
      <c r="C7" s="2" t="str">
        <f>VLOOKUP(A7,campaigns[[campaign_name]:[target_category]],6,0)</f>
        <v>Traditional Food</v>
      </c>
      <c r="D7" s="3">
        <f>VLOOKUP(A7,campaigns[[campaign_name]:[target_category]],5,0)</f>
        <v>800</v>
      </c>
      <c r="E7" s="3">
        <f>SUMIF([1]Ventas!$J:$J, C7, [1]Ventas!$O:$O)</f>
        <v>5407.2000000000007</v>
      </c>
      <c r="F7" s="3">
        <f t="shared" si="0"/>
        <v>4607.2000000000007</v>
      </c>
      <c r="G7" s="4">
        <f t="shared" si="1"/>
        <v>6.7590000000000012</v>
      </c>
      <c r="H7" s="3">
        <f>SUMIFS([1]Ventas!$O:$O,[1]Ventas!$J:$J,C7,[1]Ventas!$B:$B,"&gt;="&amp;J7,[1]Ventas!$B:$B,"&lt;="&amp;K7)</f>
        <v>207.39999999999998</v>
      </c>
      <c r="I7" s="4">
        <f t="shared" si="2"/>
        <v>0.25924999999999998</v>
      </c>
      <c r="J7" s="1">
        <f>VLOOKUP(A7,campaigns[[campaign_name]:[target_category]],2,0)</f>
        <v>45498</v>
      </c>
      <c r="K7" s="1">
        <f>VLOOKUP(A7,campaigns[[campaign_name]:[target_category]],3,0)</f>
        <v>45510</v>
      </c>
    </row>
    <row r="8" spans="1:11" x14ac:dyDescent="0.2">
      <c r="A8" s="2" t="s">
        <v>19</v>
      </c>
      <c r="B8" s="2" t="str">
        <f>VLOOKUP(A8,campaigns[[campaign_name]:[target_category]],4,0)</f>
        <v>Email</v>
      </c>
      <c r="C8" s="2" t="str">
        <f>VLOOKUP(A8,campaigns[[campaign_name]:[target_category]],6,0)</f>
        <v>Groceries</v>
      </c>
      <c r="D8" s="3">
        <f>VLOOKUP(A8,campaigns[[campaign_name]:[target_category]],5,0)</f>
        <v>350</v>
      </c>
      <c r="E8" s="3">
        <f>SUMIF([1]Ventas!$J:$J, C8, [1]Ventas!$O:$O)</f>
        <v>7616.940000000006</v>
      </c>
      <c r="F8" s="3">
        <f t="shared" si="0"/>
        <v>7266.940000000006</v>
      </c>
      <c r="G8" s="4">
        <f t="shared" si="1"/>
        <v>21.76268571428573</v>
      </c>
      <c r="H8" s="3">
        <f>SUMIFS([1]Ventas!$O:$O,[1]Ventas!$J:$J,C8,[1]Ventas!$B:$B,"&gt;="&amp;J8,[1]Ventas!$B:$B,"&lt;="&amp;K8)</f>
        <v>801.75</v>
      </c>
      <c r="I8" s="4">
        <f t="shared" si="2"/>
        <v>2.2907142857142859</v>
      </c>
      <c r="J8" s="1">
        <f>VLOOKUP(A8,campaigns[[campaign_name]:[target_category]],2,0)</f>
        <v>45488</v>
      </c>
      <c r="K8" s="1">
        <f>VLOOKUP(A8,campaigns[[campaign_name]:[target_category]],3,0)</f>
        <v>45519</v>
      </c>
    </row>
    <row r="9" spans="1:11" x14ac:dyDescent="0.2">
      <c r="A9" s="2" t="s">
        <v>18</v>
      </c>
      <c r="B9" s="2" t="str">
        <f>VLOOKUP(A9,campaigns[[campaign_name]:[target_category]],4,0)</f>
        <v>Social Media</v>
      </c>
      <c r="C9" s="2" t="str">
        <f>VLOOKUP(A9,campaigns[[campaign_name]:[target_category]],6,0)</f>
        <v>Handicrafts</v>
      </c>
      <c r="D9" s="3">
        <f>VLOOKUP(A9,campaigns[[campaign_name]:[target_category]],5,0)</f>
        <v>600</v>
      </c>
      <c r="E9" s="3">
        <f>SUMIF([1]Ventas!$J:$J, C9, [1]Ventas!$O:$O)</f>
        <v>61934.9</v>
      </c>
      <c r="F9" s="3">
        <f t="shared" si="0"/>
        <v>61334.9</v>
      </c>
      <c r="G9" s="4">
        <f t="shared" si="1"/>
        <v>103.22483333333334</v>
      </c>
      <c r="H9" s="3">
        <f>SUMIFS([1]Ventas!$O:$O,[1]Ventas!$J:$J,C9,[1]Ventas!$B:$B,"&gt;="&amp;J9,[1]Ventas!$B:$B,"&lt;="&amp;K9)</f>
        <v>2337.5500000000002</v>
      </c>
      <c r="I9" s="4">
        <f t="shared" si="2"/>
        <v>3.8959166666666669</v>
      </c>
      <c r="J9" s="1">
        <f>VLOOKUP(A9,campaigns[[campaign_name]:[target_category]],2,0)</f>
        <v>45536</v>
      </c>
      <c r="K9" s="1">
        <f>VLOOKUP(A9,campaigns[[campaign_name]:[target_category]],3,0)</f>
        <v>45550</v>
      </c>
    </row>
    <row r="10" spans="1:11" x14ac:dyDescent="0.2">
      <c r="A10" s="2" t="s">
        <v>16</v>
      </c>
      <c r="B10" s="2" t="str">
        <f>VLOOKUP(A10,campaigns[[campaign_name]:[target_category]],4,0)</f>
        <v>In-Store</v>
      </c>
      <c r="C10" s="2" t="str">
        <f>VLOOKUP(A10,campaigns[[campaign_name]:[target_category]],6,0)</f>
        <v>Beverages</v>
      </c>
      <c r="D10" s="3">
        <f>VLOOKUP(A10,campaigns[[campaign_name]:[target_category]],5,0)</f>
        <v>200</v>
      </c>
      <c r="E10" s="3">
        <f>SUMIF([1]Ventas!$J:$J, C10, [1]Ventas!$O:$O)</f>
        <v>4456.8800000000019</v>
      </c>
      <c r="F10" s="3">
        <f t="shared" si="0"/>
        <v>4256.8800000000019</v>
      </c>
      <c r="G10" s="4">
        <f t="shared" si="1"/>
        <v>22.284400000000009</v>
      </c>
      <c r="H10" s="3">
        <f>SUMIFS([1]Ventas!$O:$O,[1]Ventas!$J:$J,C10,[1]Ventas!$B:$B,"&gt;="&amp;J10,[1]Ventas!$B:$B,"&lt;="&amp;K10)</f>
        <v>359.47999999999996</v>
      </c>
      <c r="I10" s="4">
        <f t="shared" si="2"/>
        <v>1.7973999999999999</v>
      </c>
      <c r="J10" s="1">
        <f>VLOOKUP(A10,campaigns[[campaign_name]:[target_category]],2,0)</f>
        <v>45566</v>
      </c>
      <c r="K10" s="1">
        <f>VLOOKUP(A10,campaigns[[campaign_name]:[target_category]],3,0)</f>
        <v>45596</v>
      </c>
    </row>
    <row r="11" spans="1:11" x14ac:dyDescent="0.2">
      <c r="A11" s="2" t="s">
        <v>13</v>
      </c>
      <c r="B11" s="2" t="str">
        <f>VLOOKUP(A11,campaigns[[campaign_name]:[target_category]],4,0)</f>
        <v>Social Media</v>
      </c>
      <c r="C11" s="2" t="str">
        <f>VLOOKUP(A11,campaigns[[campaign_name]:[target_category]],6,0)</f>
        <v>Handicrafts</v>
      </c>
      <c r="D11" s="3">
        <f>VLOOKUP(A11,campaigns[[campaign_name]:[target_category]],5,0)</f>
        <v>900</v>
      </c>
      <c r="E11" s="3">
        <f>SUMIF([1]Ventas!$J:$J, C11, [1]Ventas!$O:$O)</f>
        <v>61934.9</v>
      </c>
      <c r="F11" s="3">
        <f t="shared" si="0"/>
        <v>61034.9</v>
      </c>
      <c r="G11" s="4">
        <f t="shared" si="1"/>
        <v>68.816555555555553</v>
      </c>
      <c r="H11" s="3">
        <f>SUMIFS([1]Ventas!$O:$O,[1]Ventas!$J:$J,C11,[1]Ventas!$B:$B,"&gt;="&amp;J11,[1]Ventas!$B:$B,"&lt;="&amp;K11)</f>
        <v>940.6</v>
      </c>
      <c r="I11" s="4">
        <f t="shared" si="2"/>
        <v>1.0451111111111111</v>
      </c>
      <c r="J11" s="1">
        <f>VLOOKUP(A11,campaigns[[campaign_name]:[target_category]],2,0)</f>
        <v>45621</v>
      </c>
      <c r="K11" s="1">
        <f>VLOOKUP(A11,campaigns[[campaign_name]:[target_category]],3,0)</f>
        <v>45626</v>
      </c>
    </row>
    <row r="12" spans="1:11" x14ac:dyDescent="0.2">
      <c r="A12" s="2" t="s">
        <v>10</v>
      </c>
      <c r="B12" s="2" t="str">
        <f>VLOOKUP(A12,campaigns[[campaign_name]:[target_category]],4,0)</f>
        <v>Email</v>
      </c>
      <c r="C12" s="2" t="str">
        <f>VLOOKUP(A12,campaigns[[campaign_name]:[target_category]],6,0)</f>
        <v>Traditional Food</v>
      </c>
      <c r="D12" s="3">
        <f>VLOOKUP(A12,campaigns[[campaign_name]:[target_category]],5,0)</f>
        <v>650</v>
      </c>
      <c r="E12" s="3">
        <f>SUMIF([1]Ventas!$J:$J, C12, [1]Ventas!$O:$O)</f>
        <v>5407.2000000000007</v>
      </c>
      <c r="F12" s="3">
        <f t="shared" si="0"/>
        <v>4757.2000000000007</v>
      </c>
      <c r="G12" s="4">
        <f t="shared" si="1"/>
        <v>8.3187692307692327</v>
      </c>
      <c r="H12" s="3">
        <f>SUMIFS([1]Ventas!$O:$O,[1]Ventas!$J:$J,C12,[1]Ventas!$B:$B,"&gt;="&amp;J12,[1]Ventas!$B:$B,"&lt;="&amp;K12)</f>
        <v>370.11999999999989</v>
      </c>
      <c r="I12" s="4">
        <f t="shared" si="2"/>
        <v>0.56941538461538443</v>
      </c>
      <c r="J12" s="1">
        <f>VLOOKUP(A12,campaigns[[campaign_name]:[target_category]],2,0)</f>
        <v>45627</v>
      </c>
      <c r="K12" s="1">
        <f>VLOOKUP(A12,campaigns[[campaign_name]:[target_category]],3,0)</f>
        <v>45650</v>
      </c>
    </row>
    <row r="13" spans="1:11" x14ac:dyDescent="0.2">
      <c r="A13" s="2" t="s">
        <v>7</v>
      </c>
      <c r="B13" s="2" t="str">
        <f>VLOOKUP(A13,campaigns[[campaign_name]:[target_category]],4,0)</f>
        <v>In-Store</v>
      </c>
      <c r="C13" s="2" t="str">
        <f>VLOOKUP(A13,campaigns[[campaign_name]:[target_category]],6,0)</f>
        <v>Dairy</v>
      </c>
      <c r="D13" s="3">
        <f>VLOOKUP(A13,campaigns[[campaign_name]:[target_category]],5,0)</f>
        <v>300</v>
      </c>
      <c r="E13" s="3">
        <f>SUMIF([1]Ventas!$J:$J, C13, [1]Ventas!$O:$O)</f>
        <v>5982.3</v>
      </c>
      <c r="F13" s="3">
        <f t="shared" si="0"/>
        <v>5682.3</v>
      </c>
      <c r="G13" s="4">
        <f t="shared" si="1"/>
        <v>19.940999999999999</v>
      </c>
      <c r="H13" s="3">
        <f>SUMIFS([1]Ventas!$O:$O,[1]Ventas!$J:$J,C13,[1]Ventas!$B:$B,"&gt;="&amp;J13,[1]Ventas!$B:$B,"&lt;="&amp;K13)</f>
        <v>152.06</v>
      </c>
      <c r="I13" s="4">
        <f t="shared" si="2"/>
        <v>0.50686666666666669</v>
      </c>
      <c r="J13" s="1">
        <f>VLOOKUP(A13,campaigns[[campaign_name]:[target_category]],2,0)</f>
        <v>45652</v>
      </c>
      <c r="K13" s="1">
        <f>VLOOKUP(A13,campaigns[[campaign_name]:[target_category]],3,0)</f>
        <v>45657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Campaigns</vt:lpstr>
      <vt:lpstr>ROI_Analysis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Flores</dc:creator>
  <cp:lastModifiedBy>Jose Flores</cp:lastModifiedBy>
  <dcterms:created xsi:type="dcterms:W3CDTF">2026-04-11T02:18:23Z</dcterms:created>
  <dcterms:modified xsi:type="dcterms:W3CDTF">2026-04-11T03:30:28Z</dcterms:modified>
</cp:coreProperties>
</file>