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oseflores/Desktop/Proyectos/sales-analytics-sv/backend/data/excel-analysis/"/>
    </mc:Choice>
  </mc:AlternateContent>
  <xr:revisionPtr revIDLastSave="0" documentId="13_ncr:1_{DCE6C49F-3B32-9643-85A0-8A58A5BEB1D2}" xr6:coauthVersionLast="47" xr6:coauthVersionMax="47" xr10:uidLastSave="{00000000-0000-0000-0000-000000000000}"/>
  <bookViews>
    <workbookView xWindow="0" yWindow="0" windowWidth="28800" windowHeight="18000" activeTab="2" xr2:uid="{615A7C4C-5904-734C-8F90-D97D16BC6AA1}"/>
  </bookViews>
  <sheets>
    <sheet name="Suppliers" sheetId="1" r:id="rId1"/>
    <sheet name="Margin_Analysis" sheetId="2" r:id="rId2"/>
    <sheet name="Category_Margins" sheetId="3" r:id="rId3"/>
  </sheets>
  <calcPr calcId="18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" i="2"/>
  <c r="E2" i="2" s="1"/>
  <c r="F2" i="2" s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" i="2"/>
</calcChain>
</file>

<file path=xl/sharedStrings.xml><?xml version="1.0" encoding="utf-8"?>
<sst xmlns="http://schemas.openxmlformats.org/spreadsheetml/2006/main" count="93" uniqueCount="43">
  <si>
    <t>supplier_id</t>
  </si>
  <si>
    <t>supplier_name</t>
  </si>
  <si>
    <t>product_id</t>
  </si>
  <si>
    <t>product_name</t>
  </si>
  <si>
    <t>category</t>
  </si>
  <si>
    <t>cost_usd</t>
  </si>
  <si>
    <t>Lácteos San Vicente</t>
  </si>
  <si>
    <t>Distribuidora Granos Básicos</t>
  </si>
  <si>
    <t>Artesanías de El Salvador</t>
  </si>
  <si>
    <t>Textiles Centroamericanos</t>
  </si>
  <si>
    <t>Bebidas Nacionales S.A.</t>
  </si>
  <si>
    <t>Alimentos Típicos SV</t>
  </si>
  <si>
    <t>Pupuserías El Salvador S.A.</t>
  </si>
  <si>
    <t>Traditional Food</t>
  </si>
  <si>
    <t>Beverages</t>
  </si>
  <si>
    <t>Clothing</t>
  </si>
  <si>
    <t>Handicrafts</t>
  </si>
  <si>
    <t>Groceries</t>
  </si>
  <si>
    <t>Dairy</t>
  </si>
  <si>
    <t>Queso duro blando</t>
  </si>
  <si>
    <t>Crema salvadoreña</t>
  </si>
  <si>
    <t>Curtido en frasco</t>
  </si>
  <si>
    <t>Arroz blanco 1lb</t>
  </si>
  <si>
    <t>Frijoles rojos 1lb</t>
  </si>
  <si>
    <t>Aceite vegetal 1L</t>
  </si>
  <si>
    <t>Canasta de palma</t>
  </si>
  <si>
    <t>Jarrito de barro</t>
  </si>
  <si>
    <t>Pupusas de queso</t>
  </si>
  <si>
    <t>Pupusas de frijol</t>
  </si>
  <si>
    <t>Tamales de elote</t>
  </si>
  <si>
    <t>Yuca frita</t>
  </si>
  <si>
    <t>Atol de elote</t>
  </si>
  <si>
    <t>Kolachampán</t>
  </si>
  <si>
    <t>Café salvadoreño</t>
  </si>
  <si>
    <t>Fresco de tamarindo</t>
  </si>
  <si>
    <t>Camisa guayabera</t>
  </si>
  <si>
    <t>Hamaca artesanal</t>
  </si>
  <si>
    <t>unit_price</t>
  </si>
  <si>
    <t>margin_usd</t>
  </si>
  <si>
    <t>margin_pct</t>
  </si>
  <si>
    <t>Row Labels</t>
  </si>
  <si>
    <t>Grand Total</t>
  </si>
  <si>
    <t>Average of margin_pct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</si>
</sst>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49" fontId="0" fillId="0" borderId="0" xfId="0" applyNumberFormat="1"/>
    <xf numFmtId="44" fontId="0" fillId="0" borderId="0" xfId="0" applyNumberFormat="1"/>
    <xf numFmtId="10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2">
    <cellStyle name="Normal" xfId="0" builtinId="0"/>
    <cellStyle name="Percent" xfId="1" builtinId="5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José Flores Henríquez" refreshedDate="46122.840589583335" createdVersion="8" refreshedVersion="8" minRefreshableVersion="3" recordCount="18" xr:uid="{701271CA-F645-D84C-BB65-3344707B4D52}">
  <cacheSource type="worksheet">
    <worksheetSource name="margin_analysis"/>
  </cacheSource>
  <cacheFields count="6">
    <cacheField name="product_name" numFmtId="0">
      <sharedItems/>
    </cacheField>
    <cacheField name="category" numFmtId="0">
      <sharedItems count="6">
        <s v="Traditional Food"/>
        <s v="Beverages"/>
        <s v="Clothing"/>
        <s v="Handicrafts"/>
        <s v="Groceries"/>
        <s v="Dairy"/>
      </sharedItems>
    </cacheField>
    <cacheField name="cost_usd" numFmtId="44">
      <sharedItems containsSemiMixedTypes="0" containsString="0" containsNumber="1" minValue="0.2" maxValue="18"/>
    </cacheField>
    <cacheField name="unit_price" numFmtId="44">
      <sharedItems containsSemiMixedTypes="0" containsString="0" containsNumber="1" minValue="0.5" maxValue="35"/>
    </cacheField>
    <cacheField name="margin_usd" numFmtId="44">
      <sharedItems containsSemiMixedTypes="0" containsString="0" containsNumber="1" minValue="0.25" maxValue="17"/>
    </cacheField>
    <cacheField name="margin_pct" numFmtId="10">
      <sharedItems containsSemiMixedTypes="0" containsString="0" containsNumber="1" minValue="0.3571428571428571" maxValue="0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s v="Pupusas de queso"/>
    <x v="0"/>
    <n v="0.25"/>
    <n v="0.5"/>
    <n v="0.25"/>
    <n v="0.5"/>
  </r>
  <r>
    <s v="Pupusas de frijol"/>
    <x v="0"/>
    <n v="0.2"/>
    <n v="0.5"/>
    <n v="0.3"/>
    <n v="0.6"/>
  </r>
  <r>
    <s v="Tamales de elote"/>
    <x v="0"/>
    <n v="0.55000000000000004"/>
    <n v="1"/>
    <n v="0.44999999999999996"/>
    <n v="0.44999999999999996"/>
  </r>
  <r>
    <s v="Yuca frita"/>
    <x v="0"/>
    <n v="1.2"/>
    <n v="2.5"/>
    <n v="1.3"/>
    <n v="0.52"/>
  </r>
  <r>
    <s v="Atol de elote"/>
    <x v="1"/>
    <n v="0.45"/>
    <n v="1"/>
    <n v="0.55000000000000004"/>
    <n v="0.55000000000000004"/>
  </r>
  <r>
    <s v="Kolachampán"/>
    <x v="1"/>
    <n v="0.35"/>
    <n v="0.75"/>
    <n v="0.4"/>
    <n v="0.53333333333333333"/>
  </r>
  <r>
    <s v="Café salvadoreño"/>
    <x v="1"/>
    <n v="0.65"/>
    <n v="1.5"/>
    <n v="0.85"/>
    <n v="0.56666666666666665"/>
  </r>
  <r>
    <s v="Fresco de tamarindo"/>
    <x v="1"/>
    <n v="0.3"/>
    <n v="0.75"/>
    <n v="0.45"/>
    <n v="0.6"/>
  </r>
  <r>
    <s v="Camisa guayabera"/>
    <x v="2"/>
    <n v="9"/>
    <n v="18"/>
    <n v="9"/>
    <n v="0.5"/>
  </r>
  <r>
    <s v="Hamaca artesanal"/>
    <x v="3"/>
    <n v="18"/>
    <n v="35"/>
    <n v="17"/>
    <n v="0.48571428571428571"/>
  </r>
  <r>
    <s v="Jarrito de barro"/>
    <x v="3"/>
    <n v="3.5"/>
    <n v="8"/>
    <n v="4.5"/>
    <n v="0.5625"/>
  </r>
  <r>
    <s v="Canasta de palma"/>
    <x v="3"/>
    <n v="5.5"/>
    <n v="12"/>
    <n v="6.5"/>
    <n v="0.54166666666666663"/>
  </r>
  <r>
    <s v="Aceite vegetal 1L"/>
    <x v="4"/>
    <n v="1.8"/>
    <n v="2.8"/>
    <n v="0.99999999999999978"/>
    <n v="0.3571428571428571"/>
  </r>
  <r>
    <s v="Frijoles rojos 1lb"/>
    <x v="4"/>
    <n v="0.65"/>
    <n v="1.2"/>
    <n v="0.54999999999999993"/>
    <n v="0.45833333333333331"/>
  </r>
  <r>
    <s v="Arroz blanco 1lb"/>
    <x v="4"/>
    <n v="0.45"/>
    <n v="0.9"/>
    <n v="0.45"/>
    <n v="0.5"/>
  </r>
  <r>
    <s v="Crema salvadoreña"/>
    <x v="5"/>
    <n v="0.7"/>
    <n v="1.5"/>
    <n v="0.8"/>
    <n v="0.53333333333333333"/>
  </r>
  <r>
    <s v="Queso duro blando"/>
    <x v="5"/>
    <n v="1.8"/>
    <n v="3.5"/>
    <n v="1.7"/>
    <n v="0.48571428571428571"/>
  </r>
  <r>
    <s v="Curtido en frasco"/>
    <x v="4"/>
    <n v="0.9"/>
    <n v="2"/>
    <n v="1.1000000000000001"/>
    <n v="0.550000000000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49A3D-478F-0E45-B38C-96E799F7045C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8" firstHeaderRow="1" firstDataRow="1" firstDataCol="1"/>
  <pivotFields count="6">
    <pivotField showAll="0"/>
    <pivotField axis="axisRow" showAll="0">
      <items count="7">
        <item x="1"/>
        <item x="2"/>
        <item x="5"/>
        <item x="4"/>
        <item x="3"/>
        <item x="0"/>
        <item t="default"/>
      </items>
    </pivotField>
    <pivotField numFmtId="44" showAll="0"/>
    <pivotField numFmtId="44" showAll="0"/>
    <pivotField numFmtId="44" showAll="0"/>
    <pivotField dataField="1" numFmtId="10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margin_pct" fld="5" subtotal="average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D9A4D2-1CFC-E441-9580-28381324FF99}" name="suppliers" displayName="suppliers" ref="A1:F19" totalsRowShown="0">
  <autoFilter ref="A1:F19" xr:uid="{47D9A4D2-1CFC-E441-9580-28381324FF99}"/>
  <tableColumns count="6">
    <tableColumn id="1" xr3:uid="{62963A49-F298-9D4C-A0C5-786633215184}" name="supplier_id" dataDxfId="7"/>
    <tableColumn id="2" xr3:uid="{95873126-E520-1F4D-AE0D-AD51D0A87609}" name="supplier_name" dataDxfId="6"/>
    <tableColumn id="3" xr3:uid="{C10EA3AF-8070-2548-A4AF-DC68257BE76C}" name="product_id" dataDxfId="5"/>
    <tableColumn id="4" xr3:uid="{EE1BC551-9149-124D-9850-FA3A8A6FC289}" name="product_name"/>
    <tableColumn id="5" xr3:uid="{A10361F8-ED67-204A-801B-334A4FE5BFF2}" name="category"/>
    <tableColumn id="6" xr3:uid="{443BE25B-77FC-A341-BC32-0F75F55E812A}" name="cost_usd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0B244D-1164-7A4F-B2A5-59358D41DC06}" name="margin_analysis" displayName="margin_analysis" ref="A1:F19" totalsRowShown="0">
  <autoFilter ref="A1:F19" xr:uid="{740B244D-1164-7A4F-B2A5-59358D41DC06}"/>
  <tableColumns count="6">
    <tableColumn id="1" xr3:uid="{06751A28-DB2F-D64B-A7CE-F16C37F3AC3C}" name="product_name"/>
    <tableColumn id="2" xr3:uid="{B95DD6FB-8975-5042-B19B-268F99A13579}" name="category">
      <calculatedColumnFormula>VLOOKUP(A2,suppliers[[product_name]:[cost_usd]],2,0)</calculatedColumnFormula>
    </tableColumn>
    <tableColumn id="3" xr3:uid="{D547A6AF-58C6-1D45-9C74-43A4D241931E}" name="cost_usd" dataDxfId="3">
      <calculatedColumnFormula>VLOOKUP(A2,suppliers[[product_name]:[cost_usd]],3,0)</calculatedColumnFormula>
    </tableColumn>
    <tableColumn id="4" xr3:uid="{365D74A4-D2E9-ED44-9900-B08378F3E78F}" name="unit_price" dataDxfId="2"/>
    <tableColumn id="5" xr3:uid="{696F6A63-E4E3-3343-BF7A-2DEFC772A954}" name="margin_usd" dataDxfId="1">
      <calculatedColumnFormula>D2-C2</calculatedColumnFormula>
    </tableColumn>
    <tableColumn id="6" xr3:uid="{8F03A3D6-C590-894C-A99D-EE19A22A7897}" name="margin_pct" dataDxfId="0" dataCellStyle="Percent">
      <calculatedColumnFormula>E2/D2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D4B79-183D-DF4E-A7E9-6E2201E7374E}">
  <dimension ref="A1:F19"/>
  <sheetViews>
    <sheetView workbookViewId="0">
      <selection activeCell="D5" sqref="D5"/>
    </sheetView>
  </sheetViews>
  <sheetFormatPr baseColWidth="10" defaultRowHeight="16" x14ac:dyDescent="0.2"/>
  <cols>
    <col min="1" max="1" width="12.5" customWidth="1"/>
    <col min="2" max="2" width="24.6640625" bestFit="1" customWidth="1"/>
    <col min="3" max="3" width="12.1640625" customWidth="1"/>
    <col min="4" max="4" width="16.83203125" bestFit="1" customWidth="1"/>
    <col min="5" max="5" width="14.1640625" bestFit="1" customWidth="1"/>
    <col min="6" max="6" width="1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1</v>
      </c>
      <c r="B2" s="1" t="s">
        <v>12</v>
      </c>
      <c r="C2" s="1">
        <v>1</v>
      </c>
      <c r="D2" t="s">
        <v>27</v>
      </c>
      <c r="E2" t="s">
        <v>13</v>
      </c>
      <c r="F2" s="2">
        <v>0.25</v>
      </c>
    </row>
    <row r="3" spans="1:6" x14ac:dyDescent="0.2">
      <c r="A3" s="1">
        <v>1</v>
      </c>
      <c r="B3" s="1" t="s">
        <v>12</v>
      </c>
      <c r="C3" s="1">
        <v>2</v>
      </c>
      <c r="D3" t="s">
        <v>28</v>
      </c>
      <c r="E3" t="s">
        <v>13</v>
      </c>
      <c r="F3" s="2">
        <v>0.2</v>
      </c>
    </row>
    <row r="4" spans="1:6" x14ac:dyDescent="0.2">
      <c r="A4" s="1">
        <v>2</v>
      </c>
      <c r="B4" s="1" t="s">
        <v>11</v>
      </c>
      <c r="C4" s="1">
        <v>3</v>
      </c>
      <c r="D4" t="s">
        <v>29</v>
      </c>
      <c r="E4" t="s">
        <v>13</v>
      </c>
      <c r="F4" s="2">
        <v>0.55000000000000004</v>
      </c>
    </row>
    <row r="5" spans="1:6" x14ac:dyDescent="0.2">
      <c r="A5" s="1">
        <v>2</v>
      </c>
      <c r="B5" s="1" t="s">
        <v>11</v>
      </c>
      <c r="C5" s="1">
        <v>4</v>
      </c>
      <c r="D5" t="s">
        <v>30</v>
      </c>
      <c r="E5" t="s">
        <v>13</v>
      </c>
      <c r="F5" s="2">
        <v>1.2</v>
      </c>
    </row>
    <row r="6" spans="1:6" x14ac:dyDescent="0.2">
      <c r="A6" s="1">
        <v>3</v>
      </c>
      <c r="B6" s="1" t="s">
        <v>10</v>
      </c>
      <c r="C6" s="1">
        <v>5</v>
      </c>
      <c r="D6" t="s">
        <v>31</v>
      </c>
      <c r="E6" t="s">
        <v>14</v>
      </c>
      <c r="F6" s="2">
        <v>0.45</v>
      </c>
    </row>
    <row r="7" spans="1:6" x14ac:dyDescent="0.2">
      <c r="A7" s="1">
        <v>3</v>
      </c>
      <c r="B7" s="1" t="s">
        <v>10</v>
      </c>
      <c r="C7" s="1">
        <v>6</v>
      </c>
      <c r="D7" t="s">
        <v>32</v>
      </c>
      <c r="E7" t="s">
        <v>14</v>
      </c>
      <c r="F7" s="2">
        <v>0.35</v>
      </c>
    </row>
    <row r="8" spans="1:6" x14ac:dyDescent="0.2">
      <c r="A8" s="1">
        <v>3</v>
      </c>
      <c r="B8" s="1" t="s">
        <v>10</v>
      </c>
      <c r="C8" s="1">
        <v>7</v>
      </c>
      <c r="D8" t="s">
        <v>33</v>
      </c>
      <c r="E8" t="s">
        <v>14</v>
      </c>
      <c r="F8" s="2">
        <v>0.65</v>
      </c>
    </row>
    <row r="9" spans="1:6" x14ac:dyDescent="0.2">
      <c r="A9" s="1">
        <v>3</v>
      </c>
      <c r="B9" s="1" t="s">
        <v>10</v>
      </c>
      <c r="C9" s="1">
        <v>8</v>
      </c>
      <c r="D9" t="s">
        <v>34</v>
      </c>
      <c r="E9" t="s">
        <v>14</v>
      </c>
      <c r="F9" s="2">
        <v>0.3</v>
      </c>
    </row>
    <row r="10" spans="1:6" x14ac:dyDescent="0.2">
      <c r="A10" s="1">
        <v>4</v>
      </c>
      <c r="B10" s="1" t="s">
        <v>9</v>
      </c>
      <c r="C10" s="1">
        <v>9</v>
      </c>
      <c r="D10" t="s">
        <v>35</v>
      </c>
      <c r="E10" t="s">
        <v>15</v>
      </c>
      <c r="F10" s="2">
        <v>9</v>
      </c>
    </row>
    <row r="11" spans="1:6" x14ac:dyDescent="0.2">
      <c r="A11" s="1">
        <v>5</v>
      </c>
      <c r="B11" s="1" t="s">
        <v>8</v>
      </c>
      <c r="C11" s="1">
        <v>10</v>
      </c>
      <c r="D11" t="s">
        <v>36</v>
      </c>
      <c r="E11" t="s">
        <v>16</v>
      </c>
      <c r="F11" s="2">
        <v>18</v>
      </c>
    </row>
    <row r="12" spans="1:6" x14ac:dyDescent="0.2">
      <c r="A12" s="1">
        <v>5</v>
      </c>
      <c r="B12" s="1" t="s">
        <v>8</v>
      </c>
      <c r="C12" s="1">
        <v>11</v>
      </c>
      <c r="D12" t="s">
        <v>26</v>
      </c>
      <c r="E12" t="s">
        <v>16</v>
      </c>
      <c r="F12" s="2">
        <v>3.5</v>
      </c>
    </row>
    <row r="13" spans="1:6" x14ac:dyDescent="0.2">
      <c r="A13" s="1">
        <v>5</v>
      </c>
      <c r="B13" s="1" t="s">
        <v>8</v>
      </c>
      <c r="C13" s="1">
        <v>12</v>
      </c>
      <c r="D13" t="s">
        <v>25</v>
      </c>
      <c r="E13" t="s">
        <v>16</v>
      </c>
      <c r="F13" s="2">
        <v>5.5</v>
      </c>
    </row>
    <row r="14" spans="1:6" x14ac:dyDescent="0.2">
      <c r="A14" s="1">
        <v>6</v>
      </c>
      <c r="B14" s="1" t="s">
        <v>7</v>
      </c>
      <c r="C14" s="1">
        <v>13</v>
      </c>
      <c r="D14" t="s">
        <v>24</v>
      </c>
      <c r="E14" t="s">
        <v>17</v>
      </c>
      <c r="F14" s="2">
        <v>1.8</v>
      </c>
    </row>
    <row r="15" spans="1:6" x14ac:dyDescent="0.2">
      <c r="A15" s="1">
        <v>6</v>
      </c>
      <c r="B15" s="1" t="s">
        <v>7</v>
      </c>
      <c r="C15" s="1">
        <v>14</v>
      </c>
      <c r="D15" t="s">
        <v>23</v>
      </c>
      <c r="E15" t="s">
        <v>17</v>
      </c>
      <c r="F15" s="2">
        <v>0.65</v>
      </c>
    </row>
    <row r="16" spans="1:6" x14ac:dyDescent="0.2">
      <c r="A16" s="1">
        <v>6</v>
      </c>
      <c r="B16" s="1" t="s">
        <v>7</v>
      </c>
      <c r="C16" s="1">
        <v>15</v>
      </c>
      <c r="D16" t="s">
        <v>22</v>
      </c>
      <c r="E16" t="s">
        <v>17</v>
      </c>
      <c r="F16" s="2">
        <v>0.45</v>
      </c>
    </row>
    <row r="17" spans="1:6" x14ac:dyDescent="0.2">
      <c r="A17" s="1">
        <v>6</v>
      </c>
      <c r="B17" s="1" t="s">
        <v>7</v>
      </c>
      <c r="C17" s="1">
        <v>18</v>
      </c>
      <c r="D17" t="s">
        <v>21</v>
      </c>
      <c r="E17" t="s">
        <v>17</v>
      </c>
      <c r="F17" s="2">
        <v>0.9</v>
      </c>
    </row>
    <row r="18" spans="1:6" x14ac:dyDescent="0.2">
      <c r="A18" s="1">
        <v>7</v>
      </c>
      <c r="B18" s="1" t="s">
        <v>6</v>
      </c>
      <c r="C18" s="1">
        <v>16</v>
      </c>
      <c r="D18" t="s">
        <v>20</v>
      </c>
      <c r="E18" t="s">
        <v>18</v>
      </c>
      <c r="F18" s="2">
        <v>0.7</v>
      </c>
    </row>
    <row r="19" spans="1:6" x14ac:dyDescent="0.2">
      <c r="A19" s="1">
        <v>7</v>
      </c>
      <c r="B19" s="1" t="s">
        <v>6</v>
      </c>
      <c r="C19" s="1">
        <v>17</v>
      </c>
      <c r="D19" t="s">
        <v>19</v>
      </c>
      <c r="E19" t="s">
        <v>18</v>
      </c>
      <c r="F19" s="2">
        <v>1.8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9D6F-08C5-E94C-A01E-6B7D33226E8E}">
  <dimension ref="A1:F19"/>
  <sheetViews>
    <sheetView workbookViewId="0">
      <selection activeCell="B2" sqref="B2"/>
    </sheetView>
  </sheetViews>
  <sheetFormatPr baseColWidth="10" defaultRowHeight="16" x14ac:dyDescent="0.2"/>
  <cols>
    <col min="1" max="1" width="21.5" bestFit="1" customWidth="1"/>
    <col min="2" max="2" width="14.1640625" bestFit="1" customWidth="1"/>
    <col min="3" max="3" width="11" customWidth="1"/>
    <col min="4" max="4" width="11.6640625" customWidth="1"/>
    <col min="5" max="5" width="13.1640625" customWidth="1"/>
    <col min="6" max="6" width="12.83203125" customWidth="1"/>
  </cols>
  <sheetData>
    <row r="1" spans="1:6" x14ac:dyDescent="0.2">
      <c r="A1" t="s">
        <v>3</v>
      </c>
      <c r="B1" t="s">
        <v>4</v>
      </c>
      <c r="C1" t="s">
        <v>5</v>
      </c>
      <c r="D1" t="s">
        <v>37</v>
      </c>
      <c r="E1" t="s">
        <v>38</v>
      </c>
      <c r="F1" t="s">
        <v>39</v>
      </c>
    </row>
    <row r="2" spans="1:6" x14ac:dyDescent="0.2">
      <c r="A2" t="s">
        <v>27</v>
      </c>
      <c r="B2" t="str">
        <f>VLOOKUP(A2,suppliers[[product_name]:[cost_usd]],2,0)</f>
        <v>Traditional Food</v>
      </c>
      <c r="C2" s="2">
        <f>VLOOKUP(A2,suppliers[[product_name]:[cost_usd]],3,0)</f>
        <v>0.25</v>
      </c>
      <c r="D2" s="2">
        <v>0.5</v>
      </c>
      <c r="E2" s="2">
        <f>D2-C2</f>
        <v>0.25</v>
      </c>
      <c r="F2" s="3">
        <f>E2/D2</f>
        <v>0.5</v>
      </c>
    </row>
    <row r="3" spans="1:6" x14ac:dyDescent="0.2">
      <c r="A3" t="s">
        <v>28</v>
      </c>
      <c r="B3" t="str">
        <f>VLOOKUP(A3,suppliers[[product_name]:[cost_usd]],2,0)</f>
        <v>Traditional Food</v>
      </c>
      <c r="C3" s="2">
        <f>VLOOKUP(A3,suppliers[[product_name]:[cost_usd]],3,0)</f>
        <v>0.2</v>
      </c>
      <c r="D3" s="2">
        <v>0.5</v>
      </c>
      <c r="E3" s="2">
        <f t="shared" ref="E3:E19" si="0">D3-C3</f>
        <v>0.3</v>
      </c>
      <c r="F3" s="3">
        <f t="shared" ref="F3:F19" si="1">E3/D3</f>
        <v>0.6</v>
      </c>
    </row>
    <row r="4" spans="1:6" x14ac:dyDescent="0.2">
      <c r="A4" t="s">
        <v>29</v>
      </c>
      <c r="B4" t="str">
        <f>VLOOKUP(A4,suppliers[[product_name]:[cost_usd]],2,0)</f>
        <v>Traditional Food</v>
      </c>
      <c r="C4" s="2">
        <f>VLOOKUP(A4,suppliers[[product_name]:[cost_usd]],3,0)</f>
        <v>0.55000000000000004</v>
      </c>
      <c r="D4" s="2">
        <v>1</v>
      </c>
      <c r="E4" s="2">
        <f t="shared" si="0"/>
        <v>0.44999999999999996</v>
      </c>
      <c r="F4" s="3">
        <f t="shared" si="1"/>
        <v>0.44999999999999996</v>
      </c>
    </row>
    <row r="5" spans="1:6" x14ac:dyDescent="0.2">
      <c r="A5" t="s">
        <v>30</v>
      </c>
      <c r="B5" t="str">
        <f>VLOOKUP(A5,suppliers[[product_name]:[cost_usd]],2,0)</f>
        <v>Traditional Food</v>
      </c>
      <c r="C5" s="2">
        <f>VLOOKUP(A5,suppliers[[product_name]:[cost_usd]],3,0)</f>
        <v>1.2</v>
      </c>
      <c r="D5" s="2">
        <v>2.5</v>
      </c>
      <c r="E5" s="2">
        <f t="shared" si="0"/>
        <v>1.3</v>
      </c>
      <c r="F5" s="3">
        <f t="shared" si="1"/>
        <v>0.52</v>
      </c>
    </row>
    <row r="6" spans="1:6" x14ac:dyDescent="0.2">
      <c r="A6" t="s">
        <v>31</v>
      </c>
      <c r="B6" t="str">
        <f>VLOOKUP(A6,suppliers[[product_name]:[cost_usd]],2,0)</f>
        <v>Beverages</v>
      </c>
      <c r="C6" s="2">
        <f>VLOOKUP(A6,suppliers[[product_name]:[cost_usd]],3,0)</f>
        <v>0.45</v>
      </c>
      <c r="D6" s="2">
        <v>1</v>
      </c>
      <c r="E6" s="2">
        <f t="shared" si="0"/>
        <v>0.55000000000000004</v>
      </c>
      <c r="F6" s="3">
        <f t="shared" si="1"/>
        <v>0.55000000000000004</v>
      </c>
    </row>
    <row r="7" spans="1:6" x14ac:dyDescent="0.2">
      <c r="A7" t="s">
        <v>32</v>
      </c>
      <c r="B7" t="str">
        <f>VLOOKUP(A7,suppliers[[product_name]:[cost_usd]],2,0)</f>
        <v>Beverages</v>
      </c>
      <c r="C7" s="2">
        <f>VLOOKUP(A7,suppliers[[product_name]:[cost_usd]],3,0)</f>
        <v>0.35</v>
      </c>
      <c r="D7" s="2">
        <v>0.75</v>
      </c>
      <c r="E7" s="2">
        <f t="shared" si="0"/>
        <v>0.4</v>
      </c>
      <c r="F7" s="3">
        <f t="shared" si="1"/>
        <v>0.53333333333333333</v>
      </c>
    </row>
    <row r="8" spans="1:6" x14ac:dyDescent="0.2">
      <c r="A8" t="s">
        <v>33</v>
      </c>
      <c r="B8" t="str">
        <f>VLOOKUP(A8,suppliers[[product_name]:[cost_usd]],2,0)</f>
        <v>Beverages</v>
      </c>
      <c r="C8" s="2">
        <f>VLOOKUP(A8,suppliers[[product_name]:[cost_usd]],3,0)</f>
        <v>0.65</v>
      </c>
      <c r="D8" s="2">
        <v>1.5</v>
      </c>
      <c r="E8" s="2">
        <f t="shared" si="0"/>
        <v>0.85</v>
      </c>
      <c r="F8" s="3">
        <f t="shared" si="1"/>
        <v>0.56666666666666665</v>
      </c>
    </row>
    <row r="9" spans="1:6" x14ac:dyDescent="0.2">
      <c r="A9" t="s">
        <v>34</v>
      </c>
      <c r="B9" t="str">
        <f>VLOOKUP(A9,suppliers[[product_name]:[cost_usd]],2,0)</f>
        <v>Beverages</v>
      </c>
      <c r="C9" s="2">
        <f>VLOOKUP(A9,suppliers[[product_name]:[cost_usd]],3,0)</f>
        <v>0.3</v>
      </c>
      <c r="D9" s="2">
        <v>0.75</v>
      </c>
      <c r="E9" s="2">
        <f t="shared" si="0"/>
        <v>0.45</v>
      </c>
      <c r="F9" s="3">
        <f t="shared" si="1"/>
        <v>0.6</v>
      </c>
    </row>
    <row r="10" spans="1:6" x14ac:dyDescent="0.2">
      <c r="A10" t="s">
        <v>35</v>
      </c>
      <c r="B10" t="str">
        <f>VLOOKUP(A10,suppliers[[product_name]:[cost_usd]],2,0)</f>
        <v>Clothing</v>
      </c>
      <c r="C10" s="2">
        <f>VLOOKUP(A10,suppliers[[product_name]:[cost_usd]],3,0)</f>
        <v>9</v>
      </c>
      <c r="D10" s="2">
        <v>18</v>
      </c>
      <c r="E10" s="2">
        <f t="shared" si="0"/>
        <v>9</v>
      </c>
      <c r="F10" s="3">
        <f t="shared" si="1"/>
        <v>0.5</v>
      </c>
    </row>
    <row r="11" spans="1:6" x14ac:dyDescent="0.2">
      <c r="A11" t="s">
        <v>36</v>
      </c>
      <c r="B11" t="str">
        <f>VLOOKUP(A11,suppliers[[product_name]:[cost_usd]],2,0)</f>
        <v>Handicrafts</v>
      </c>
      <c r="C11" s="2">
        <f>VLOOKUP(A11,suppliers[[product_name]:[cost_usd]],3,0)</f>
        <v>18</v>
      </c>
      <c r="D11" s="2">
        <v>35</v>
      </c>
      <c r="E11" s="2">
        <f t="shared" si="0"/>
        <v>17</v>
      </c>
      <c r="F11" s="3">
        <f t="shared" si="1"/>
        <v>0.48571428571428571</v>
      </c>
    </row>
    <row r="12" spans="1:6" x14ac:dyDescent="0.2">
      <c r="A12" t="s">
        <v>26</v>
      </c>
      <c r="B12" t="str">
        <f>VLOOKUP(A12,suppliers[[product_name]:[cost_usd]],2,0)</f>
        <v>Handicrafts</v>
      </c>
      <c r="C12" s="2">
        <f>VLOOKUP(A12,suppliers[[product_name]:[cost_usd]],3,0)</f>
        <v>3.5</v>
      </c>
      <c r="D12" s="2">
        <v>8</v>
      </c>
      <c r="E12" s="2">
        <f t="shared" si="0"/>
        <v>4.5</v>
      </c>
      <c r="F12" s="3">
        <f t="shared" si="1"/>
        <v>0.5625</v>
      </c>
    </row>
    <row r="13" spans="1:6" x14ac:dyDescent="0.2">
      <c r="A13" t="s">
        <v>25</v>
      </c>
      <c r="B13" t="str">
        <f>VLOOKUP(A13,suppliers[[product_name]:[cost_usd]],2,0)</f>
        <v>Handicrafts</v>
      </c>
      <c r="C13" s="2">
        <f>VLOOKUP(A13,suppliers[[product_name]:[cost_usd]],3,0)</f>
        <v>5.5</v>
      </c>
      <c r="D13" s="2">
        <v>12</v>
      </c>
      <c r="E13" s="2">
        <f t="shared" si="0"/>
        <v>6.5</v>
      </c>
      <c r="F13" s="3">
        <f t="shared" si="1"/>
        <v>0.54166666666666663</v>
      </c>
    </row>
    <row r="14" spans="1:6" x14ac:dyDescent="0.2">
      <c r="A14" t="s">
        <v>24</v>
      </c>
      <c r="B14" t="str">
        <f>VLOOKUP(A14,suppliers[[product_name]:[cost_usd]],2,0)</f>
        <v>Groceries</v>
      </c>
      <c r="C14" s="2">
        <f>VLOOKUP(A14,suppliers[[product_name]:[cost_usd]],3,0)</f>
        <v>1.8</v>
      </c>
      <c r="D14" s="2">
        <v>2.8</v>
      </c>
      <c r="E14" s="2">
        <f t="shared" si="0"/>
        <v>0.99999999999999978</v>
      </c>
      <c r="F14" s="3">
        <f t="shared" si="1"/>
        <v>0.3571428571428571</v>
      </c>
    </row>
    <row r="15" spans="1:6" x14ac:dyDescent="0.2">
      <c r="A15" t="s">
        <v>23</v>
      </c>
      <c r="B15" t="str">
        <f>VLOOKUP(A15,suppliers[[product_name]:[cost_usd]],2,0)</f>
        <v>Groceries</v>
      </c>
      <c r="C15" s="2">
        <f>VLOOKUP(A15,suppliers[[product_name]:[cost_usd]],3,0)</f>
        <v>0.65</v>
      </c>
      <c r="D15" s="2">
        <v>1.2</v>
      </c>
      <c r="E15" s="2">
        <f t="shared" si="0"/>
        <v>0.54999999999999993</v>
      </c>
      <c r="F15" s="3">
        <f t="shared" si="1"/>
        <v>0.45833333333333331</v>
      </c>
    </row>
    <row r="16" spans="1:6" x14ac:dyDescent="0.2">
      <c r="A16" t="s">
        <v>22</v>
      </c>
      <c r="B16" t="str">
        <f>VLOOKUP(A16,suppliers[[product_name]:[cost_usd]],2,0)</f>
        <v>Groceries</v>
      </c>
      <c r="C16" s="2">
        <f>VLOOKUP(A16,suppliers[[product_name]:[cost_usd]],3,0)</f>
        <v>0.45</v>
      </c>
      <c r="D16" s="2">
        <v>0.9</v>
      </c>
      <c r="E16" s="2">
        <f t="shared" si="0"/>
        <v>0.45</v>
      </c>
      <c r="F16" s="3">
        <f t="shared" si="1"/>
        <v>0.5</v>
      </c>
    </row>
    <row r="17" spans="1:6" x14ac:dyDescent="0.2">
      <c r="A17" t="s">
        <v>20</v>
      </c>
      <c r="B17" t="str">
        <f>VLOOKUP(A17,suppliers[[product_name]:[cost_usd]],2,0)</f>
        <v>Dairy</v>
      </c>
      <c r="C17" s="2">
        <f>VLOOKUP(A17,suppliers[[product_name]:[cost_usd]],3,0)</f>
        <v>0.7</v>
      </c>
      <c r="D17" s="2">
        <v>1.5</v>
      </c>
      <c r="E17" s="2">
        <f t="shared" si="0"/>
        <v>0.8</v>
      </c>
      <c r="F17" s="3">
        <f t="shared" si="1"/>
        <v>0.53333333333333333</v>
      </c>
    </row>
    <row r="18" spans="1:6" x14ac:dyDescent="0.2">
      <c r="A18" t="s">
        <v>19</v>
      </c>
      <c r="B18" t="str">
        <f>VLOOKUP(A18,suppliers[[product_name]:[cost_usd]],2,0)</f>
        <v>Dairy</v>
      </c>
      <c r="C18" s="2">
        <f>VLOOKUP(A18,suppliers[[product_name]:[cost_usd]],3,0)</f>
        <v>1.8</v>
      </c>
      <c r="D18" s="2">
        <v>3.5</v>
      </c>
      <c r="E18" s="2">
        <f t="shared" si="0"/>
        <v>1.7</v>
      </c>
      <c r="F18" s="3">
        <f t="shared" si="1"/>
        <v>0.48571428571428571</v>
      </c>
    </row>
    <row r="19" spans="1:6" x14ac:dyDescent="0.2">
      <c r="A19" t="s">
        <v>21</v>
      </c>
      <c r="B19" t="str">
        <f>VLOOKUP(A19,suppliers[[product_name]:[cost_usd]],2,0)</f>
        <v>Groceries</v>
      </c>
      <c r="C19" s="2">
        <f>VLOOKUP(A19,suppliers[[product_name]:[cost_usd]],3,0)</f>
        <v>0.9</v>
      </c>
      <c r="D19" s="2">
        <v>2</v>
      </c>
      <c r="E19" s="2">
        <f t="shared" si="0"/>
        <v>1.1000000000000001</v>
      </c>
      <c r="F19" s="3">
        <f t="shared" si="1"/>
        <v>0.55000000000000004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2FE8-B308-3849-B16F-082EE73EAA86}">
  <dimension ref="A1:B8"/>
  <sheetViews>
    <sheetView tabSelected="1" workbookViewId="0"/>
  </sheetViews>
  <sheetFormatPr baseColWidth="10" defaultRowHeight="16" x14ac:dyDescent="0.2"/>
  <cols>
    <col min="1" max="1" width="14.1640625" bestFit="1" customWidth="1"/>
    <col min="2" max="2" width="19.6640625" bestFit="1" customWidth="1"/>
  </cols>
  <sheetData>
    <row r="1" spans="1:2" x14ac:dyDescent="0.2">
      <c r="A1" s="4" t="s">
        <v>40</v>
      </c>
      <c r="B1" t="s">
        <v>42</v>
      </c>
    </row>
    <row r="2" spans="1:2" x14ac:dyDescent="0.2">
      <c r="A2" s="5" t="s">
        <v>14</v>
      </c>
      <c r="B2" s="6">
        <v>0.5625</v>
      </c>
    </row>
    <row r="3" spans="1:2" x14ac:dyDescent="0.2">
      <c r="A3" s="5" t="s">
        <v>15</v>
      </c>
      <c r="B3" s="6">
        <v>0.5</v>
      </c>
    </row>
    <row r="4" spans="1:2" x14ac:dyDescent="0.2">
      <c r="A4" s="5" t="s">
        <v>18</v>
      </c>
      <c r="B4" s="6">
        <v>0.50952380952380949</v>
      </c>
    </row>
    <row r="5" spans="1:2" x14ac:dyDescent="0.2">
      <c r="A5" s="5" t="s">
        <v>17</v>
      </c>
      <c r="B5" s="6">
        <v>0.46636904761904763</v>
      </c>
    </row>
    <row r="6" spans="1:2" x14ac:dyDescent="0.2">
      <c r="A6" s="5" t="s">
        <v>16</v>
      </c>
      <c r="B6" s="6">
        <v>0.52996031746031746</v>
      </c>
    </row>
    <row r="7" spans="1:2" x14ac:dyDescent="0.2">
      <c r="A7" s="5" t="s">
        <v>13</v>
      </c>
      <c r="B7" s="6">
        <v>0.51750000000000007</v>
      </c>
    </row>
    <row r="8" spans="1:2" x14ac:dyDescent="0.2">
      <c r="A8" s="5" t="s">
        <v>41</v>
      </c>
      <c r="B8" s="6">
        <v>0.51635582010582004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Suppliers</vt:lpstr>
      <vt:lpstr>Margin_Analysis</vt:lpstr>
      <vt:lpstr>Category_Margins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Flores</dc:creator>
  <cp:lastModifiedBy>Jose Flores</cp:lastModifiedBy>
  <dcterms:created xsi:type="dcterms:W3CDTF">2026-04-11T01:21:15Z</dcterms:created>
  <dcterms:modified xsi:type="dcterms:W3CDTF">2026-04-11T02:16:00Z</dcterms:modified>
</cp:coreProperties>
</file>